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school-food-inventory-management\outputs\team-6\"/>
    </mc:Choice>
  </mc:AlternateContent>
  <xr:revisionPtr revIDLastSave="0" documentId="11_3091E7190D2FDA189E3B250D1615D61F67BC3E4F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Team" sheetId="1" r:id="rId1"/>
    <sheet name="Cong viec" sheetId="2" r:id="rId2"/>
    <sheet name="Nghiem th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3" l="1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M47" i="2"/>
  <c r="N47" i="2" s="1"/>
  <c r="M46" i="2"/>
  <c r="N46" i="2" s="1"/>
  <c r="M45" i="2"/>
  <c r="N45" i="2" s="1"/>
  <c r="M44" i="2"/>
  <c r="N44" i="2" s="1"/>
  <c r="M43" i="2"/>
  <c r="N43" i="2" s="1"/>
  <c r="M42" i="2"/>
  <c r="N42" i="2" s="1"/>
  <c r="M41" i="2"/>
  <c r="N41" i="2" s="1"/>
  <c r="M40" i="2"/>
  <c r="N40" i="2" s="1"/>
  <c r="M39" i="2"/>
  <c r="N39" i="2" s="1"/>
  <c r="M38" i="2"/>
  <c r="N38" i="2" s="1"/>
  <c r="M37" i="2"/>
  <c r="N37" i="2" s="1"/>
  <c r="M36" i="2"/>
  <c r="N36" i="2" s="1"/>
  <c r="M35" i="2"/>
  <c r="N35" i="2" s="1"/>
  <c r="M34" i="2"/>
  <c r="N34" i="2" s="1"/>
  <c r="M33" i="2"/>
  <c r="N33" i="2" s="1"/>
  <c r="M32" i="2"/>
  <c r="N32" i="2" s="1"/>
  <c r="N31" i="2"/>
  <c r="M31" i="2"/>
  <c r="M30" i="2"/>
  <c r="N30" i="2" s="1"/>
  <c r="M29" i="2"/>
  <c r="N29" i="2" s="1"/>
  <c r="M28" i="2"/>
  <c r="N28" i="2" s="1"/>
  <c r="M27" i="2"/>
  <c r="N27" i="2" s="1"/>
  <c r="M26" i="2"/>
  <c r="N26" i="2" s="1"/>
  <c r="M25" i="2"/>
  <c r="N25" i="2" s="1"/>
  <c r="M24" i="2"/>
  <c r="N24" i="2" s="1"/>
  <c r="M23" i="2"/>
  <c r="N23" i="2" s="1"/>
  <c r="M22" i="2"/>
  <c r="N22" i="2" s="1"/>
  <c r="M21" i="2"/>
  <c r="N21" i="2" s="1"/>
  <c r="N20" i="2"/>
  <c r="M20" i="2"/>
  <c r="M19" i="2"/>
  <c r="N19" i="2" s="1"/>
  <c r="M18" i="2"/>
  <c r="N18" i="2" s="1"/>
  <c r="M17" i="2"/>
  <c r="N17" i="2" s="1"/>
  <c r="M16" i="2"/>
  <c r="N16" i="2" s="1"/>
  <c r="M15" i="2"/>
  <c r="N15" i="2" s="1"/>
  <c r="M14" i="2"/>
  <c r="N14" i="2" s="1"/>
  <c r="M13" i="2"/>
  <c r="N13" i="2" s="1"/>
  <c r="M12" i="2"/>
  <c r="N12" i="2" s="1"/>
  <c r="M11" i="2"/>
  <c r="N11" i="2" s="1"/>
  <c r="M10" i="2"/>
  <c r="N10" i="2" s="1"/>
  <c r="M9" i="2"/>
  <c r="N9" i="2" s="1"/>
  <c r="M8" i="2"/>
  <c r="N8" i="2" s="1"/>
  <c r="M7" i="2"/>
  <c r="N7" i="2" s="1"/>
  <c r="M6" i="2"/>
  <c r="N6" i="2" s="1"/>
  <c r="G24" i="1"/>
  <c r="F24" i="1"/>
  <c r="D24" i="1"/>
  <c r="C24" i="1"/>
  <c r="E24" i="1" s="1"/>
  <c r="G23" i="1"/>
  <c r="F23" i="1"/>
  <c r="D23" i="1"/>
  <c r="C23" i="1"/>
  <c r="E23" i="1" s="1"/>
  <c r="G22" i="1"/>
  <c r="F22" i="1"/>
  <c r="D22" i="1"/>
  <c r="C22" i="1"/>
  <c r="E22" i="1" s="1"/>
  <c r="G21" i="1"/>
  <c r="F21" i="1"/>
  <c r="D21" i="1"/>
  <c r="C21" i="1"/>
  <c r="E21" i="1" s="1"/>
  <c r="G20" i="1"/>
  <c r="F20" i="1"/>
  <c r="D20" i="1"/>
  <c r="C20" i="1"/>
  <c r="E20" i="1" s="1"/>
  <c r="G19" i="1"/>
  <c r="F19" i="1"/>
  <c r="D19" i="1"/>
  <c r="C19" i="1"/>
  <c r="E19" i="1" s="1"/>
  <c r="G18" i="1"/>
  <c r="F18" i="1"/>
  <c r="D18" i="1"/>
  <c r="C18" i="1"/>
  <c r="E18" i="1" s="1"/>
  <c r="H13" i="1"/>
  <c r="G13" i="1"/>
  <c r="E13" i="1"/>
  <c r="D13" i="1"/>
  <c r="F13" i="1" s="1"/>
  <c r="H12" i="1"/>
  <c r="G12" i="1"/>
  <c r="E12" i="1"/>
  <c r="D12" i="1"/>
  <c r="F12" i="1" s="1"/>
  <c r="H11" i="1"/>
  <c r="G11" i="1"/>
  <c r="E11" i="1"/>
  <c r="D11" i="1"/>
  <c r="F11" i="1" s="1"/>
  <c r="H10" i="1"/>
  <c r="G10" i="1"/>
  <c r="E10" i="1"/>
  <c r="F10" i="1" s="1"/>
  <c r="D10" i="1"/>
  <c r="H9" i="1"/>
  <c r="G9" i="1"/>
  <c r="E9" i="1"/>
  <c r="D9" i="1"/>
  <c r="F9" i="1" s="1"/>
  <c r="H8" i="1"/>
  <c r="H14" i="1" s="1"/>
  <c r="G8" i="1"/>
  <c r="G14" i="1" s="1"/>
  <c r="E8" i="1"/>
  <c r="E14" i="1" s="1"/>
  <c r="D8" i="1"/>
  <c r="F8" i="1" l="1"/>
  <c r="D14" i="1"/>
  <c r="F14" i="1" s="1"/>
</calcChain>
</file>

<file path=xl/sharedStrings.xml><?xml version="1.0" encoding="utf-8"?>
<sst xmlns="http://schemas.openxmlformats.org/spreadsheetml/2006/main" count="621" uniqueCount="303">
  <si>
    <t>SchoolFood phân công và tiến độ</t>
  </si>
  <si>
    <t>Điền tên tại cột B. Mỗi người bắt đầu bằng SF01–SF06. Tiến độ tính theo task, không phải giờ làm.</t>
  </si>
  <si>
    <t>Hoàn tất cần: trạng thái Hoàn tất + review Đạt + bằng chứng. Reviewer kiểm tra cả dependency trước khi duyệt.</t>
  </si>
  <si>
    <t>Mở M6</t>
  </si>
  <si>
    <t>Chưa mở</t>
  </si>
  <si>
    <t>Chỉ TV1 mở sau M5 và xác nhận tài khoản, chi phí, domain.</t>
  </si>
  <si>
    <t>Mã</t>
  </si>
  <si>
    <t>Tên thành viên</t>
  </si>
  <si>
    <t>Vai trò</t>
  </si>
  <si>
    <t>Task local</t>
  </si>
  <si>
    <t>Đã xong</t>
  </si>
  <si>
    <t>Tỷ lệ local</t>
  </si>
  <si>
    <t>Đang làm</t>
  </si>
  <si>
    <t>Bị chặn</t>
  </si>
  <si>
    <t>TV1</t>
  </si>
  <si>
    <t>Leader và tích hợp</t>
  </si>
  <si>
    <t>TV2</t>
  </si>
  <si>
    <t>Dữ liệu và nghiệp vụ backend</t>
  </si>
  <si>
    <t>TV3</t>
  </si>
  <si>
    <t>Giao diện chính</t>
  </si>
  <si>
    <t>TV4</t>
  </si>
  <si>
    <t>API và test backend</t>
  </si>
  <si>
    <t>TV5</t>
  </si>
  <si>
    <t>Giao diện và kiểm thử</t>
  </si>
  <si>
    <t>TV6</t>
  </si>
  <si>
    <t>QA và hỗ trợ tích hợp</t>
  </si>
  <si>
    <t>Tổng local</t>
  </si>
  <si>
    <t>Mốc</t>
  </si>
  <si>
    <t>Tên mốc</t>
  </si>
  <si>
    <t>Task</t>
  </si>
  <si>
    <t>Tỷ lệ</t>
  </si>
  <si>
    <t>Case đạt</t>
  </si>
  <si>
    <t>Số case</t>
  </si>
  <si>
    <t>Phạm vi</t>
  </si>
  <si>
    <t>M0</t>
  </si>
  <si>
    <t>Hiểu khung</t>
  </si>
  <si>
    <t>Bản local</t>
  </si>
  <si>
    <t>M1</t>
  </si>
  <si>
    <t>Category đọc</t>
  </si>
  <si>
    <t>M2</t>
  </si>
  <si>
    <t>Danh mục và auth</t>
  </si>
  <si>
    <t>M3</t>
  </si>
  <si>
    <t>Nhập kho</t>
  </si>
  <si>
    <t>M4</t>
  </si>
  <si>
    <t>Xuất kho</t>
  </si>
  <si>
    <t>M5</t>
  </si>
  <si>
    <t>Kiểm kê và báo cáo</t>
  </si>
  <si>
    <t>M6</t>
  </si>
  <si>
    <t>Deploy làm sau</t>
  </si>
  <si>
    <t>Mở sau khi chốt chi phí</t>
  </si>
  <si>
    <t>Cách dùng: lọc Cong viec theo TV, đọc thẻ SF trong Word, cập nhật trạng thái và bằng chứng sau mỗi buổi.</t>
  </si>
  <si>
    <t>Nghiem thu: điền Kết quả thực tế và Bằng chứng; chỉ chọn Đạt khi đã chạy. Không đánh dấu thay người chưa thử.</t>
  </si>
  <si>
    <t>Nếu đổi owner, đổi reviewer tương ứng; ô reviewer đỏ nghĩa là trùng người làm. Hạn dự kiến để trống chờ team chốt.</t>
  </si>
  <si>
    <t>Nguồn: skeleton repository và bộ hướng dẫn SchoolFood ngày 19/09/2026. Bộ này thay checklist 5 người cũ.</t>
  </si>
  <si>
    <t>SchoolFood công việc cho 6 thành viên</t>
  </si>
  <si>
    <t>Lọc Người làm theo TV. Tra mã SF trong hướng dẫn task. Ô vàng để cập nhật; cột M và N tự tính.</t>
  </si>
  <si>
    <t>Ngày 19/09/2026: chưa xác nhận task nào hoàn tất. M6 làm sau; TV1 mở tại Team!B5.</t>
  </si>
  <si>
    <t>Người làm</t>
  </si>
  <si>
    <t>Reviewer</t>
  </si>
  <si>
    <t>Công việc</t>
  </si>
  <si>
    <t>Cần xong trước</t>
  </si>
  <si>
    <t>Điều kiện đạt</t>
  </si>
  <si>
    <t>Hạn dự kiến</t>
  </si>
  <si>
    <t>Trạng thái</t>
  </si>
  <si>
    <t>Review</t>
  </si>
  <si>
    <t>Bằng chứng</t>
  </si>
  <si>
    <t>Trở ngại hoặc bước tiếp</t>
  </si>
  <si>
    <t>Được tính xong</t>
  </si>
  <si>
    <t>Có thể bắt đầu</t>
  </si>
  <si>
    <t>SF01</t>
  </si>
  <si>
    <t>Chốt cách làm và chạy khung trên máy leader</t>
  </si>
  <si>
    <t>Không</t>
  </si>
  <si>
    <t>Leader chạy được khung và xác nhận tên của đủ 6 người.</t>
  </si>
  <si>
    <t>Chưa làm</t>
  </si>
  <si>
    <t>Chưa</t>
  </si>
  <si>
    <t>SF02</t>
  </si>
  <si>
    <t>Đọc Django và PostgreSQL</t>
  </si>
  <si>
    <t>Giải thích được URL, view, truy vấn và JSON; có bằng chứng chạy local.</t>
  </si>
  <si>
    <t>SF03</t>
  </si>
  <si>
    <t>Đọc React và vòng gọi API</t>
  </si>
  <si>
    <t>Giải thích được state, useEffect, fetch và proxy; không nhầm React truy cập DB trực tiếp.</t>
  </si>
  <si>
    <t>SF04</t>
  </si>
  <si>
    <t>Chạy test mẫu và đọc lỗi</t>
  </si>
  <si>
    <t>Có test pass và biết tìm expected/actual khi test fail.</t>
  </si>
  <si>
    <t>SF05</t>
  </si>
  <si>
    <t>Thử trạng thái lỗi của giao diện</t>
  </si>
  <si>
    <t>Biết phân biệt lỗi UI, API và database; bằng chứng gồm thành công và thất bại.</t>
  </si>
  <si>
    <t>SF06</t>
  </si>
  <si>
    <t>Xác minh onboarding trên máy thứ hai</t>
  </si>
  <si>
    <t>Một người khác có thể chạy theo hướng dẫn; không đánh dấu thay ai chưa chạy.</t>
  </si>
  <si>
    <t>SF07</t>
  </si>
  <si>
    <t>Chốt Category và cách chia branch</t>
  </si>
  <si>
    <t>SF01, SF02, SF03, SF04, SF05, SF06</t>
  </si>
  <si>
    <t>Cả backend và frontend dùng một contract; cả 6 người đã qua M0.</t>
  </si>
  <si>
    <t>SF08</t>
  </si>
  <si>
    <t>Model Category và API danh sách</t>
  </si>
  <si>
    <t>Database giữ dữ liệu qua reload; GET trả đúng 2 nhóm hoặc mảng rỗng.</t>
  </si>
  <si>
    <t>SF09</t>
  </si>
  <si>
    <t>Trang danh sách Category</t>
  </si>
  <si>
    <t>Trang hiển thị đúng dữ liệu PostgreSQL, kể cả rỗng và mất kết nối.</t>
  </si>
  <si>
    <t>SF10</t>
  </si>
  <si>
    <t>Test Category đọc và ràng buộc</t>
  </si>
  <si>
    <t>Test pass trên database test riêng; không sửa tay dữ liệu local để test pass.</t>
  </si>
  <si>
    <t>SF11</t>
  </si>
  <si>
    <t>Review giao diện Category</t>
  </si>
  <si>
    <t>Không mất chữ quan trọng, lỗi dễ hiểu, không phát sinh dependency mới.</t>
  </si>
  <si>
    <t>SF12</t>
  </si>
  <si>
    <t>Nghiệm thu lát cắt Category</t>
  </si>
  <si>
    <t>SF09, SF10, SF11</t>
  </si>
  <si>
    <t>Lát cắt DB → API → React chạy trên máy thứ hai.</t>
  </si>
  <si>
    <t>SF13</t>
  </si>
  <si>
    <t>Session đăng nhập và quyền API</t>
  </si>
  <si>
    <t>Manager đọc/ghi, viewer chỉ đọc; POST thiếu CSRF bị từ chối.</t>
  </si>
  <si>
    <t>SF14</t>
  </si>
  <si>
    <t>Danh mục đầy đủ và API ghi</t>
  </si>
  <si>
    <t>CRUD tối thiểu gồm xem/tạo/sửa/ngừng dùng; API không nhận chỉnh tồn trực tiếp.</t>
  </si>
  <si>
    <t>SF15</t>
  </si>
  <si>
    <t>Giao diện đăng nhập và danh mục thực phẩm</t>
  </si>
  <si>
    <t>SF13, SF14</t>
  </si>
  <si>
    <t>Đăng nhập thật; xem/tạo/sửa thực phẩm được; hết session quay về login.</t>
  </si>
  <si>
    <t>SF16</t>
  </si>
  <si>
    <t>Test quyền và validation danh mục</t>
  </si>
  <si>
    <t>Test xác nhận cả response và trạng thái database khi lỗi.</t>
  </si>
  <si>
    <t>SF17</t>
  </si>
  <si>
    <t>Giao diện Supplier và lỗi dùng chung</t>
  </si>
  <si>
    <t>SF14, SF15</t>
  </si>
  <si>
    <t>Supplier tạo/sửa/ngừng dùng được; lỗi hiển thị rõ và nút không gửi lặp.</t>
  </si>
  <si>
    <t>SF18</t>
  </si>
  <si>
    <t>Seed danh mục và nghiệm thu M2</t>
  </si>
  <si>
    <t>SF15, SF16, SF17</t>
  </si>
  <si>
    <t>Demo local lặp được; đủ tài khoản quyền; không nhân đôi danh mục.</t>
  </si>
  <si>
    <t>SF19</t>
  </si>
  <si>
    <t>Chốt model phiếu nhập và sổ kho</t>
  </si>
  <si>
    <t>Mô hình hỗ trợ nhiều dòng và không cho lặp cùng food trong một phiếu.</t>
  </si>
  <si>
    <t>SF20</t>
  </si>
  <si>
    <t>Nghiệp vụ chốt nhập và giá bình quân</t>
  </si>
  <si>
    <t>Chốt một lần duy nhất; lỗi bất kỳ dòng nào rollback cả phiếu.</t>
  </si>
  <si>
    <t>SF21</t>
  </si>
  <si>
    <t>Giao diện phiếu nhập</t>
  </si>
  <si>
    <t>SF22</t>
  </si>
  <si>
    <t>Người dùng phân biệt Lưu nháp và Chốt; total do server trả.</t>
  </si>
  <si>
    <t>API tạo nháp xem và chốt nhập</t>
  </si>
  <si>
    <t>SF19, SF20</t>
  </si>
  <si>
    <t>API phân biệt draft/posted và error rõ; không có sửa/xóa posted.</t>
  </si>
  <si>
    <t>SF23</t>
  </si>
  <si>
    <t>Kiểm thử nhập kho và rollback</t>
  </si>
  <si>
    <t>SF20, SF22</t>
  </si>
  <si>
    <t>AC08–AC10 có test tự động; không chỉ kiểm tra status 200.</t>
  </si>
  <si>
    <t>SF24</t>
  </si>
  <si>
    <t>Nghiệm thu nhập kho với dữ liệu chuẩn</t>
  </si>
  <si>
    <t>SF21, SF23</t>
  </si>
  <si>
    <t>M3 chạy từ UI đến DB trên máy thứ hai; số liệu khớp bộ mẫu.</t>
  </si>
  <si>
    <t>SF25</t>
  </si>
  <si>
    <t>Chốt model và contract phiếu xuất</t>
  </si>
  <si>
    <t>Xuất có chứng từ và tham chiếu ledger; dùng cùng quy tắc bất biến như nhập.</t>
  </si>
  <si>
    <t>SF26</t>
  </si>
  <si>
    <t>Nghiệp vụ chốt xuất chống âm kho</t>
  </si>
  <si>
    <t>Không âm kho; giá xuất dùng giá tại lúc chốt; không ghi dở phiếu.</t>
  </si>
  <si>
    <t>SF27</t>
  </si>
  <si>
    <t>Giao diện xuất kho</t>
  </si>
  <si>
    <t>SF28</t>
  </si>
  <si>
    <t>UI đi hết luồng draft → posted và phản ánh tồn mới.</t>
  </si>
  <si>
    <t>API phiếu xuất</t>
  </si>
  <si>
    <t>SF25, SF26</t>
  </si>
  <si>
    <t>API đúng contract và không thay tồn khi lỗi.</t>
  </si>
  <si>
    <t>SF29</t>
  </si>
  <si>
    <t>Test xuất đồng thời và trường hợp biên</t>
  </si>
  <si>
    <t>SF26, SF28</t>
  </si>
  <si>
    <t>Không có âm kho khi hai người chốt đồng thời.</t>
  </si>
  <si>
    <t>SF30</t>
  </si>
  <si>
    <t>Nghiệm thu luồng nhập rồi xuất</t>
  </si>
  <si>
    <t>SF27, SF29</t>
  </si>
  <si>
    <t>Nhập và xuất dùng cùng số liệu và đều chạy từ UI.</t>
  </si>
  <si>
    <t>SF31</t>
  </si>
  <si>
    <t>Chốt kiểm kê và tiêu chí hoàn tất local</t>
  </si>
  <si>
    <t>Dữ liệu đủ phát hiện kiểm kê cũ; cả team hiểu chênh lệch không đồng nghĩa gian lận.</t>
  </si>
  <si>
    <t>SF32</t>
  </si>
  <si>
    <t>Service và API kiểm kê</t>
  </si>
  <si>
    <t>Tồn 80 đếm 77 cho -3, tồn cuối 77; snapshot cũ bị từ chối.</t>
  </si>
  <si>
    <t>SF33</t>
  </si>
  <si>
    <t>Trang báo cáo tồn và lịch sử</t>
  </si>
  <si>
    <t>SF34</t>
  </si>
  <si>
    <t>Báo cáo khớp kho, lọc đúng ngày và truy vết chứng từ.</t>
  </si>
  <si>
    <t>API báo cáo tồn và sổ giao dịch</t>
  </si>
  <si>
    <t>Báo cáo chỉ đọc, số lượng khớp tổng quantity_delta; tiền theo rule làm tròn.</t>
  </si>
  <si>
    <t>SF35</t>
  </si>
  <si>
    <t>Giao diện kiểm kê</t>
  </si>
  <si>
    <t>Phân biệt chưa nhập với 0; kiểm kê cũ không thể ghi đè tồn.</t>
  </si>
  <si>
    <t>SF36</t>
  </si>
  <si>
    <t>Nghiệm thu toàn bộ MVP local</t>
  </si>
  <si>
    <t>SF32, SF33, SF34, SF35</t>
  </si>
  <si>
    <t>MVP local đủ bằng chứng; không đánh dấu xong chỉ dựa vào build pass.</t>
  </si>
  <si>
    <t>SF37</t>
  </si>
  <si>
    <t>Chốt ngân sách và thiết kế deploy</t>
  </si>
  <si>
    <t>Có quyết định chi phí và kế hoạch deploy được chủ dự án chấp thuận.</t>
  </si>
  <si>
    <t>SF38</t>
  </si>
  <si>
    <t>Database staging và backup thử</t>
  </si>
  <si>
    <t>Staging riêng, migration và phục hồi dữ liệu được kiểm tra.</t>
  </si>
  <si>
    <t>SF39</t>
  </si>
  <si>
    <t>Build giao diện cho môi trường deploy</t>
  </si>
  <si>
    <t>Bản build staging hiển thị và gọi API đúng.</t>
  </si>
  <si>
    <t>SF40</t>
  </si>
  <si>
    <t>Kiểm tra cấu hình production</t>
  </si>
  <si>
    <t>SF37, SF38</t>
  </si>
  <si>
    <t>Thiết lập production được kiểm tra độc lập trước public.</t>
  </si>
  <si>
    <t>SF41</t>
  </si>
  <si>
    <t>Kiểm tra tên miền và giao diện public</t>
  </si>
  <si>
    <t>SF39, SF40</t>
  </si>
  <si>
    <t>Domain thật phục vụ đúng ứng dụng và HTTPS hợp lệ.</t>
  </si>
  <si>
    <t>SF42</t>
  </si>
  <si>
    <t>Bàn giao bản deploy và diễn tập khôi phục</t>
  </si>
  <si>
    <t>SF38, SF41</t>
  </si>
  <si>
    <t>Có người vận hành và hướng dẫn khôi phục; domain/DB không lệ thuộc tài khoản cá nhân mất quyền.</t>
  </si>
  <si>
    <t>SchoolFood checklist nghiệm thu</t>
  </si>
  <si>
    <t>Ghi actual và bằng chứng sau khi chạy. Chưa chạy không có nghĩa là Đạt. AC21–AC22 dành cho M6 làm sau.</t>
  </si>
  <si>
    <t>Người kiểm tra</t>
  </si>
  <si>
    <t>Task liên quan</t>
  </si>
  <si>
    <t>Thiết lập và thao tác</t>
  </si>
  <si>
    <t>Kết quả mong đợi</t>
  </si>
  <si>
    <t>Kết quả thực tế</t>
  </si>
  <si>
    <t>Được tính đạt</t>
  </si>
  <si>
    <t>AC01</t>
  </si>
  <si>
    <t>SF01–SF06</t>
  </si>
  <si>
    <t>Mỗi người tự chạy Compose, migrate, hello, test và build.</t>
  </si>
  <si>
    <t>Đủ 6 bằng chứng và 6 lời giải thích vòng request.</t>
  </si>
  <si>
    <t>Chưa chạy</t>
  </si>
  <si>
    <t>AC02</t>
  </si>
  <si>
    <t>SF08–SF12</t>
  </si>
  <si>
    <t>Tạo 2 Category rồi xem API và UI, reload trang.</t>
  </si>
  <si>
    <t>Hai nhóm giống nhau ở DB/API/UI; empty/error state rõ.</t>
  </si>
  <si>
    <t>AC03</t>
  </si>
  <si>
    <t>SF14,SF16</t>
  </si>
  <si>
    <t>Gửi code trùng, name rỗng, category không tồn tại, field quantity tự đặt.</t>
  </si>
  <si>
    <t>400/409 phù hợp; không tạo hoặc sửa dữ liệu sai.</t>
  </si>
  <si>
    <t>AC04</t>
  </si>
  <si>
    <t>SF13,SF16</t>
  </si>
  <si>
    <t>Thử chưa login, sai password, viewer ghi, POST thiếu CSRF và logout.</t>
  </si>
  <si>
    <t>401/403 theo contract; request hợp lệ thành công; logout mất quyền.</t>
  </si>
  <si>
    <t>AC05</t>
  </si>
  <si>
    <t>SF14–SF17</t>
  </si>
  <si>
    <t>Tạo/sửa/ngừng dùng Food và Supplier bằng manager.</t>
  </si>
  <si>
    <t>Reload giữ dữ liệu; viewer chỉ xem; tồn không chỉnh qua form.</t>
  </si>
  <si>
    <t>AC06</t>
  </si>
  <si>
    <t>Chạy seed danh mục 2 lần trên local.</t>
  </si>
  <si>
    <t>Không trùng code; quantity/avg vẫn bằng 0.</t>
  </si>
  <si>
    <t>AC07</t>
  </si>
  <si>
    <t>SF19–SF22</t>
  </si>
  <si>
    <t>Tạo Receipt draft có 2 dòng rồi xem tồn.</t>
  </si>
  <si>
    <t>Draft có id; quantity và ledger chưa đổi.</t>
  </si>
  <si>
    <t>AC08</t>
  </si>
  <si>
    <t>SF20,SF23</t>
  </si>
  <si>
    <t>Chốt nhập Gạo 50 × 90000 rồi 50 × 110000.</t>
  </si>
  <si>
    <t>Tồn 100.000 kg; avg 100000.00; hai ledger IN.</t>
  </si>
  <si>
    <t>AC09</t>
  </si>
  <si>
    <t>Phiếu 2 dòng, 1 dòng quantity âm hoặc food không active.</t>
  </si>
  <si>
    <t>Toàn phiếu bị từ chối; tồn, status, ledger đều không đổi.</t>
  </si>
  <si>
    <t>AC10</t>
  </si>
  <si>
    <t>SF22,SF23</t>
  </si>
  <si>
    <t>Chốt cùng receipt_id lần thứ hai.</t>
  </si>
  <si>
    <t>409; không tăng tồn hoặc ledger lần hai.</t>
  </si>
  <si>
    <t>AC11</t>
  </si>
  <si>
    <t>SF26–SF30</t>
  </si>
  <si>
    <t>Sau AC08, chốt xuất 20 kg.</t>
  </si>
  <si>
    <t>Tồn 80.000; avg 100000.00; giá trị xuất 2000000.00.</t>
  </si>
  <si>
    <t>AC12</t>
  </si>
  <si>
    <t>SF26,SF29</t>
  </si>
  <si>
    <t>Khi tồn 80, thử xuất 81; thêm case phiếu 2 dòng thiếu 1 dòng.</t>
  </si>
  <si>
    <t>409; rollback mọi dòng, không âm kho.</t>
  </si>
  <si>
    <t>AC13</t>
  </si>
  <si>
    <t>SF28,SF29</t>
  </si>
  <si>
    <t>Chốt lặp issue_id; thử xuất đúng hết tồn.</t>
  </si>
  <si>
    <t>Chốt lặp bị từ chối; xuất hết đưa quantity về 0, avg giữ lại.</t>
  </si>
  <si>
    <t>AC14</t>
  </si>
  <si>
    <t>Tồn 10, hai kết nối cùng chốt hai phiếu xuất 8.</t>
  </si>
  <si>
    <t>Một thành công, một lỗi thiếu tồn; cuối còn 2; một ledger OUT.</t>
  </si>
  <si>
    <t>AC15</t>
  </si>
  <si>
    <t>SF32,SF35</t>
  </si>
  <si>
    <t>Sau AC11, mở snapshot 80, đếm 77 và chốt.</t>
  </si>
  <si>
    <t>Variance -3; tồn 77; ADJUST -3 và variance_value -300000.00.</t>
  </si>
  <si>
    <t>AC16</t>
  </si>
  <si>
    <t>Mở kiểm kê rồi nhập/xuất cùng food trước khi chốt.</t>
  </si>
  <si>
    <t>409 vì version đổi; tồn mới không bị ghi đè.</t>
  </si>
  <si>
    <t>AC17</t>
  </si>
  <si>
    <t>Actual 0, rỗng, âm, bằng snapshot và chốt lặp.</t>
  </si>
  <si>
    <t>0 hợp lệ; rỗng/âm bị chặn; delta 0 không ledger; chốt lặp 409.</t>
  </si>
  <si>
    <t>AC18</t>
  </si>
  <si>
    <t>SF33,SF34</t>
  </si>
  <si>
    <t>Xem tồn và lọc ledger từ bộ mẫu chuẩn.</t>
  </si>
  <si>
    <t>Tồn 77; avg 100000; value 7700000; IN 50+50, OUT -20, ADJUST -3.</t>
  </si>
  <si>
    <t>AC19</t>
  </si>
  <si>
    <t>Dừng/chạy lại Compose không dùng -v.</t>
  </si>
  <si>
    <t>Dữ liệu và chứng từ còn nguyên; thông báo lỗi mạng dễ hiểu.</t>
  </si>
  <si>
    <t>AC20</t>
  </si>
  <si>
    <t>Chạy toàn luồng bằng manager rồi kiểm tra viewer; test/build.</t>
  </si>
  <si>
    <t>Không dùng mock hoặc sửa DB tay trong luồng; test/build đạt.</t>
  </si>
  <si>
    <t>AC21</t>
  </si>
  <si>
    <t>SF39–SF41</t>
  </si>
  <si>
    <t>Mở domain HTTPS, login, /api và màn hình thật.</t>
  </si>
  <si>
    <t>Domain đúng, TLS hợp lệ, static/API/quyền hoạt động; chỉ làm khi M6 mở.</t>
  </si>
  <si>
    <t>AC22</t>
  </si>
  <si>
    <t>SF38,SF42</t>
  </si>
  <si>
    <t>Backup/restore vào DB thử và diễn tập rollback app staging.</t>
  </si>
  <si>
    <t>Dữ liệu phục hồi đúng; có hướng dẫn migration; không reset 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</si>
</sst>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1"/>
      <name val="Carlito"/>
    </font>
    <font>
      <b/>
      <sz val="15"/>
      <color rgb="FF17212B"/>
      <name val="Arial"/>
    </font>
    <font>
      <b/>
      <sz val="10"/>
      <color rgb="FFFFFFFF"/>
      <name val="Arial"/>
    </font>
    <font>
      <sz val="10"/>
      <color rgb="FF17212B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1F5F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164" fontId="3" fillId="4" borderId="0" xfId="0" applyNumberFormat="1" applyFont="1" applyFill="1" applyAlignment="1">
      <alignment vertical="center" wrapText="1"/>
    </xf>
    <xf numFmtId="0" fontId="0" fillId="4" borderId="0" xfId="0" applyFill="1"/>
    <xf numFmtId="9" fontId="3" fillId="0" borderId="0" xfId="0" applyNumberFormat="1" applyFont="1" applyAlignment="1">
      <alignment vertical="center" wrapText="1"/>
    </xf>
    <xf numFmtId="0" fontId="4" fillId="0" borderId="0" xfId="0" applyFont="1"/>
    <xf numFmtId="9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oolFoodTasks" displayName="SchoolFoodTasks" ref="A5:N47" totalsRowShown="0">
  <tableColumns count="14">
    <tableColumn id="1" xr3:uid="{00000000-0010-0000-0000-000001000000}" name="Mã"/>
    <tableColumn id="2" xr3:uid="{00000000-0010-0000-0000-000002000000}" name="Mốc"/>
    <tableColumn id="3" xr3:uid="{00000000-0010-0000-0000-000003000000}" name="Người làm"/>
    <tableColumn id="4" xr3:uid="{00000000-0010-0000-0000-000004000000}" name="Reviewer"/>
    <tableColumn id="5" xr3:uid="{00000000-0010-0000-0000-000005000000}" name="Công việc"/>
    <tableColumn id="6" xr3:uid="{00000000-0010-0000-0000-000006000000}" name="Cần xong trước"/>
    <tableColumn id="7" xr3:uid="{00000000-0010-0000-0000-000007000000}" name="Điều kiện đạt"/>
    <tableColumn id="8" xr3:uid="{00000000-0010-0000-0000-000008000000}" name="Hạn dự kiến"/>
    <tableColumn id="9" xr3:uid="{00000000-0010-0000-0000-000009000000}" name="Trạng thái"/>
    <tableColumn id="10" xr3:uid="{00000000-0010-0000-0000-00000A000000}" name="Review"/>
    <tableColumn id="11" xr3:uid="{00000000-0010-0000-0000-00000B000000}" name="Bằng chứng"/>
    <tableColumn id="12" xr3:uid="{00000000-0010-0000-0000-00000C000000}" name="Trở ngại hoặc bước tiếp"/>
    <tableColumn id="13" xr3:uid="{00000000-0010-0000-0000-00000D000000}" name="Được tính xong"/>
    <tableColumn id="14" xr3:uid="{00000000-0010-0000-0000-00000E000000}" name="Có thể bắt đầ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hoolFoodAcceptance" displayName="SchoolFoodAcceptance" ref="A5:J27" totalsRowShown="0">
  <tableColumns count="10">
    <tableColumn id="1" xr3:uid="{00000000-0010-0000-0100-000001000000}" name="Mã"/>
    <tableColumn id="2" xr3:uid="{00000000-0010-0000-0100-000002000000}" name="Mốc"/>
    <tableColumn id="3" xr3:uid="{00000000-0010-0000-0100-000003000000}" name="Người kiểm tra"/>
    <tableColumn id="4" xr3:uid="{00000000-0010-0000-0100-000004000000}" name="Task liên quan"/>
    <tableColumn id="5" xr3:uid="{00000000-0010-0000-0100-000005000000}" name="Thiết lập và thao tác"/>
    <tableColumn id="6" xr3:uid="{00000000-0010-0000-0100-000006000000}" name="Kết quả mong đợi"/>
    <tableColumn id="7" xr3:uid="{00000000-0010-0000-0100-000007000000}" name="Kết quả thực tế"/>
    <tableColumn id="8" xr3:uid="{00000000-0010-0000-0100-000008000000}" name="Trạng thái"/>
    <tableColumn id="9" xr3:uid="{00000000-0010-0000-0100-000009000000}" name="Bằng chứng"/>
    <tableColumn id="10" xr3:uid="{00000000-0010-0000-0100-00000A000000}" name="Được tính đạ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2:H30"/>
  <sheetViews>
    <sheetView showGridLines="0" workbookViewId="0">
      <selection activeCell="D8" sqref="D8"/>
    </sheetView>
  </sheetViews>
  <sheetFormatPr defaultRowHeight="14.25"/>
  <cols>
    <col min="1" max="1" width="11" customWidth="1"/>
    <col min="2" max="2" width="27" customWidth="1"/>
    <col min="3" max="3" width="34" customWidth="1"/>
    <col min="4" max="7" width="13" customWidth="1"/>
    <col min="8" max="8" width="27" customWidth="1"/>
  </cols>
  <sheetData>
    <row r="2" spans="1:8" ht="29.1" customHeight="1">
      <c r="A2" s="1" t="s">
        <v>0</v>
      </c>
    </row>
    <row r="3" spans="1:8">
      <c r="A3" t="s">
        <v>1</v>
      </c>
    </row>
    <row r="4" spans="1:8">
      <c r="A4" t="s">
        <v>2</v>
      </c>
    </row>
    <row r="5" spans="1:8">
      <c r="A5" t="s">
        <v>3</v>
      </c>
      <c r="B5" s="7" t="s">
        <v>4</v>
      </c>
      <c r="C5" t="s">
        <v>5</v>
      </c>
    </row>
    <row r="7" spans="1:8" ht="32.1" customHeight="1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</row>
    <row r="8" spans="1:8" ht="30" customHeight="1">
      <c r="A8" s="3" t="s">
        <v>14</v>
      </c>
      <c r="B8" s="5"/>
      <c r="C8" s="3" t="s">
        <v>15</v>
      </c>
      <c r="D8" s="3">
        <f>COUNTIFS('Cong viec'!$C$6:$C$47,A8,'Cong viec'!$B$6:$B$47,"&lt;&gt;M6")</f>
        <v>6</v>
      </c>
      <c r="E8" s="3">
        <f>SUMIFS('Cong viec'!$M$6:$M$47,'Cong viec'!$C$6:$C$47,A8,'Cong viec'!$B$6:$B$47,"&lt;&gt;M6")</f>
        <v>0</v>
      </c>
      <c r="F8" s="8">
        <f t="shared" ref="F8:F14" si="0">IF(D8=0,0,E8/D8)</f>
        <v>0</v>
      </c>
      <c r="G8" s="3">
        <f>COUNTIFS('Cong viec'!$C$6:$C$47,A8,'Cong viec'!$I$6:$I$47,"Đang làm")</f>
        <v>0</v>
      </c>
      <c r="H8" s="3">
        <f>COUNTIFS('Cong viec'!$C$6:$C$47,A8,'Cong viec'!$I$6:$I$47,"Bị chặn")</f>
        <v>0</v>
      </c>
    </row>
    <row r="9" spans="1:8" ht="30" customHeight="1">
      <c r="A9" s="3" t="s">
        <v>16</v>
      </c>
      <c r="B9" s="5"/>
      <c r="C9" s="3" t="s">
        <v>17</v>
      </c>
      <c r="D9" s="3">
        <f>COUNTIFS('Cong viec'!$C$6:$C$47,A9,'Cong viec'!$B$6:$B$47,"&lt;&gt;M6")</f>
        <v>6</v>
      </c>
      <c r="E9" s="3">
        <f>SUMIFS('Cong viec'!$M$6:$M$47,'Cong viec'!$C$6:$C$47,A9,'Cong viec'!$B$6:$B$47,"&lt;&gt;M6")</f>
        <v>0</v>
      </c>
      <c r="F9" s="8">
        <f t="shared" si="0"/>
        <v>0</v>
      </c>
      <c r="G9" s="3">
        <f>COUNTIFS('Cong viec'!$C$6:$C$47,A9,'Cong viec'!$I$6:$I$47,"Đang làm")</f>
        <v>0</v>
      </c>
      <c r="H9" s="3">
        <f>COUNTIFS('Cong viec'!$C$6:$C$47,A9,'Cong viec'!$I$6:$I$47,"Bị chặn")</f>
        <v>0</v>
      </c>
    </row>
    <row r="10" spans="1:8" ht="30" customHeight="1">
      <c r="A10" s="3" t="s">
        <v>18</v>
      </c>
      <c r="B10" s="5"/>
      <c r="C10" s="3" t="s">
        <v>19</v>
      </c>
      <c r="D10" s="3">
        <f>COUNTIFS('Cong viec'!$C$6:$C$47,A10,'Cong viec'!$B$6:$B$47,"&lt;&gt;M6")</f>
        <v>6</v>
      </c>
      <c r="E10" s="3">
        <f>SUMIFS('Cong viec'!$M$6:$M$47,'Cong viec'!$C$6:$C$47,A10,'Cong viec'!$B$6:$B$47,"&lt;&gt;M6")</f>
        <v>0</v>
      </c>
      <c r="F10" s="8">
        <f t="shared" si="0"/>
        <v>0</v>
      </c>
      <c r="G10" s="3">
        <f>COUNTIFS('Cong viec'!$C$6:$C$47,A10,'Cong viec'!$I$6:$I$47,"Đang làm")</f>
        <v>0</v>
      </c>
      <c r="H10" s="3">
        <f>COUNTIFS('Cong viec'!$C$6:$C$47,A10,'Cong viec'!$I$6:$I$47,"Bị chặn")</f>
        <v>0</v>
      </c>
    </row>
    <row r="11" spans="1:8" ht="30" customHeight="1">
      <c r="A11" s="3" t="s">
        <v>20</v>
      </c>
      <c r="B11" s="5"/>
      <c r="C11" s="3" t="s">
        <v>21</v>
      </c>
      <c r="D11" s="3">
        <f>COUNTIFS('Cong viec'!$C$6:$C$47,A11,'Cong viec'!$B$6:$B$47,"&lt;&gt;M6")</f>
        <v>6</v>
      </c>
      <c r="E11" s="3">
        <f>SUMIFS('Cong viec'!$M$6:$M$47,'Cong viec'!$C$6:$C$47,A11,'Cong viec'!$B$6:$B$47,"&lt;&gt;M6")</f>
        <v>0</v>
      </c>
      <c r="F11" s="8">
        <f t="shared" si="0"/>
        <v>0</v>
      </c>
      <c r="G11" s="3">
        <f>COUNTIFS('Cong viec'!$C$6:$C$47,A11,'Cong viec'!$I$6:$I$47,"Đang làm")</f>
        <v>0</v>
      </c>
      <c r="H11" s="3">
        <f>COUNTIFS('Cong viec'!$C$6:$C$47,A11,'Cong viec'!$I$6:$I$47,"Bị chặn")</f>
        <v>0</v>
      </c>
    </row>
    <row r="12" spans="1:8" ht="30" customHeight="1">
      <c r="A12" s="3" t="s">
        <v>22</v>
      </c>
      <c r="B12" s="5"/>
      <c r="C12" s="3" t="s">
        <v>23</v>
      </c>
      <c r="D12" s="3">
        <f>COUNTIFS('Cong viec'!$C$6:$C$47,A12,'Cong viec'!$B$6:$B$47,"&lt;&gt;M6")</f>
        <v>6</v>
      </c>
      <c r="E12" s="3">
        <f>SUMIFS('Cong viec'!$M$6:$M$47,'Cong viec'!$C$6:$C$47,A12,'Cong viec'!$B$6:$B$47,"&lt;&gt;M6")</f>
        <v>0</v>
      </c>
      <c r="F12" s="8">
        <f t="shared" si="0"/>
        <v>0</v>
      </c>
      <c r="G12" s="3">
        <f>COUNTIFS('Cong viec'!$C$6:$C$47,A12,'Cong viec'!$I$6:$I$47,"Đang làm")</f>
        <v>0</v>
      </c>
      <c r="H12" s="3">
        <f>COUNTIFS('Cong viec'!$C$6:$C$47,A12,'Cong viec'!$I$6:$I$47,"Bị chặn")</f>
        <v>0</v>
      </c>
    </row>
    <row r="13" spans="1:8" ht="30" customHeight="1">
      <c r="A13" s="3" t="s">
        <v>24</v>
      </c>
      <c r="B13" s="5"/>
      <c r="C13" s="3" t="s">
        <v>25</v>
      </c>
      <c r="D13" s="3">
        <f>COUNTIFS('Cong viec'!$C$6:$C$47,A13,'Cong viec'!$B$6:$B$47,"&lt;&gt;M6")</f>
        <v>6</v>
      </c>
      <c r="E13" s="3">
        <f>SUMIFS('Cong viec'!$M$6:$M$47,'Cong viec'!$C$6:$C$47,A13,'Cong viec'!$B$6:$B$47,"&lt;&gt;M6")</f>
        <v>0</v>
      </c>
      <c r="F13" s="8">
        <f t="shared" si="0"/>
        <v>0</v>
      </c>
      <c r="G13" s="3">
        <f>COUNTIFS('Cong viec'!$C$6:$C$47,A13,'Cong viec'!$I$6:$I$47,"Đang làm")</f>
        <v>0</v>
      </c>
      <c r="H13" s="3">
        <f>COUNTIFS('Cong viec'!$C$6:$C$47,A13,'Cong viec'!$I$6:$I$47,"Bị chặn")</f>
        <v>0</v>
      </c>
    </row>
    <row r="14" spans="1:8">
      <c r="C14" s="9" t="s">
        <v>26</v>
      </c>
      <c r="D14" s="9">
        <f>SUM(D8:D13)</f>
        <v>36</v>
      </c>
      <c r="E14" s="9">
        <f>SUM(E8:E13)</f>
        <v>0</v>
      </c>
      <c r="F14" s="10">
        <f t="shared" si="0"/>
        <v>0</v>
      </c>
      <c r="G14" s="9">
        <f>SUM(G8:G13)</f>
        <v>0</v>
      </c>
      <c r="H14" s="9">
        <f>SUM(H8:H13)</f>
        <v>0</v>
      </c>
    </row>
    <row r="17" spans="1:8" ht="32.1" customHeight="1">
      <c r="A17" s="2" t="s">
        <v>27</v>
      </c>
      <c r="B17" s="2" t="s">
        <v>28</v>
      </c>
      <c r="C17" s="2" t="s">
        <v>29</v>
      </c>
      <c r="D17" s="2" t="s">
        <v>10</v>
      </c>
      <c r="E17" s="2" t="s">
        <v>30</v>
      </c>
      <c r="F17" s="2" t="s">
        <v>31</v>
      </c>
      <c r="G17" s="2" t="s">
        <v>32</v>
      </c>
      <c r="H17" s="2" t="s">
        <v>33</v>
      </c>
    </row>
    <row r="18" spans="1:8" ht="30" customHeight="1">
      <c r="A18" s="3" t="s">
        <v>34</v>
      </c>
      <c r="B18" s="3" t="s">
        <v>35</v>
      </c>
      <c r="C18" s="3">
        <f>COUNTIFS('Cong viec'!$B$6:$B$47,A18)</f>
        <v>6</v>
      </c>
      <c r="D18" s="3">
        <f>SUMIFS('Cong viec'!$M$6:$M$47,'Cong viec'!$B$6:$B$47,A18)</f>
        <v>0</v>
      </c>
      <c r="E18" s="8">
        <f t="shared" ref="E18:E24" si="1">IF(C18=0,0,D18/C18)</f>
        <v>0</v>
      </c>
      <c r="F18" s="3">
        <f>SUMIFS('Nghiem thu'!$J$6:$J$27,'Nghiem thu'!$B$6:$B$27,A18)</f>
        <v>0</v>
      </c>
      <c r="G18" s="3">
        <f>COUNTIFS('Nghiem thu'!$B$6:$B$27,A18)</f>
        <v>1</v>
      </c>
      <c r="H18" s="3" t="s">
        <v>36</v>
      </c>
    </row>
    <row r="19" spans="1:8" ht="30" customHeight="1">
      <c r="A19" s="3" t="s">
        <v>37</v>
      </c>
      <c r="B19" s="3" t="s">
        <v>38</v>
      </c>
      <c r="C19" s="3">
        <f>COUNTIFS('Cong viec'!$B$6:$B$47,A19)</f>
        <v>6</v>
      </c>
      <c r="D19" s="3">
        <f>SUMIFS('Cong viec'!$M$6:$M$47,'Cong viec'!$B$6:$B$47,A19)</f>
        <v>0</v>
      </c>
      <c r="E19" s="8">
        <f t="shared" si="1"/>
        <v>0</v>
      </c>
      <c r="F19" s="3">
        <f>SUMIFS('Nghiem thu'!$J$6:$J$27,'Nghiem thu'!$B$6:$B$27,A19)</f>
        <v>0</v>
      </c>
      <c r="G19" s="3">
        <f>COUNTIFS('Nghiem thu'!$B$6:$B$27,A19)</f>
        <v>1</v>
      </c>
      <c r="H19" s="3" t="s">
        <v>36</v>
      </c>
    </row>
    <row r="20" spans="1:8" ht="30" customHeight="1">
      <c r="A20" s="3" t="s">
        <v>39</v>
      </c>
      <c r="B20" s="3" t="s">
        <v>40</v>
      </c>
      <c r="C20" s="3">
        <f>COUNTIFS('Cong viec'!$B$6:$B$47,A20)</f>
        <v>6</v>
      </c>
      <c r="D20" s="3">
        <f>SUMIFS('Cong viec'!$M$6:$M$47,'Cong viec'!$B$6:$B$47,A20)</f>
        <v>0</v>
      </c>
      <c r="E20" s="8">
        <f t="shared" si="1"/>
        <v>0</v>
      </c>
      <c r="F20" s="3">
        <f>SUMIFS('Nghiem thu'!$J$6:$J$27,'Nghiem thu'!$B$6:$B$27,A20)</f>
        <v>0</v>
      </c>
      <c r="G20" s="3">
        <f>COUNTIFS('Nghiem thu'!$B$6:$B$27,A20)</f>
        <v>4</v>
      </c>
      <c r="H20" s="3" t="s">
        <v>36</v>
      </c>
    </row>
    <row r="21" spans="1:8" ht="30" customHeight="1">
      <c r="A21" s="3" t="s">
        <v>41</v>
      </c>
      <c r="B21" s="3" t="s">
        <v>42</v>
      </c>
      <c r="C21" s="3">
        <f>COUNTIFS('Cong viec'!$B$6:$B$47,A21)</f>
        <v>6</v>
      </c>
      <c r="D21" s="3">
        <f>SUMIFS('Cong viec'!$M$6:$M$47,'Cong viec'!$B$6:$B$47,A21)</f>
        <v>0</v>
      </c>
      <c r="E21" s="8">
        <f t="shared" si="1"/>
        <v>0</v>
      </c>
      <c r="F21" s="3">
        <f>SUMIFS('Nghiem thu'!$J$6:$J$27,'Nghiem thu'!$B$6:$B$27,A21)</f>
        <v>0</v>
      </c>
      <c r="G21" s="3">
        <f>COUNTIFS('Nghiem thu'!$B$6:$B$27,A21)</f>
        <v>4</v>
      </c>
      <c r="H21" s="3" t="s">
        <v>36</v>
      </c>
    </row>
    <row r="22" spans="1:8" ht="30" customHeight="1">
      <c r="A22" s="3" t="s">
        <v>43</v>
      </c>
      <c r="B22" s="3" t="s">
        <v>44</v>
      </c>
      <c r="C22" s="3">
        <f>COUNTIFS('Cong viec'!$B$6:$B$47,A22)</f>
        <v>6</v>
      </c>
      <c r="D22" s="3">
        <f>SUMIFS('Cong viec'!$M$6:$M$47,'Cong viec'!$B$6:$B$47,A22)</f>
        <v>0</v>
      </c>
      <c r="E22" s="8">
        <f t="shared" si="1"/>
        <v>0</v>
      </c>
      <c r="F22" s="3">
        <f>SUMIFS('Nghiem thu'!$J$6:$J$27,'Nghiem thu'!$B$6:$B$27,A22)</f>
        <v>0</v>
      </c>
      <c r="G22" s="3">
        <f>COUNTIFS('Nghiem thu'!$B$6:$B$27,A22)</f>
        <v>4</v>
      </c>
      <c r="H22" s="3" t="s">
        <v>36</v>
      </c>
    </row>
    <row r="23" spans="1:8" ht="30" customHeight="1">
      <c r="A23" s="3" t="s">
        <v>45</v>
      </c>
      <c r="B23" s="3" t="s">
        <v>46</v>
      </c>
      <c r="C23" s="3">
        <f>COUNTIFS('Cong viec'!$B$6:$B$47,A23)</f>
        <v>6</v>
      </c>
      <c r="D23" s="3">
        <f>SUMIFS('Cong viec'!$M$6:$M$47,'Cong viec'!$B$6:$B$47,A23)</f>
        <v>0</v>
      </c>
      <c r="E23" s="8">
        <f t="shared" si="1"/>
        <v>0</v>
      </c>
      <c r="F23" s="3">
        <f>SUMIFS('Nghiem thu'!$J$6:$J$27,'Nghiem thu'!$B$6:$B$27,A23)</f>
        <v>0</v>
      </c>
      <c r="G23" s="3">
        <f>COUNTIFS('Nghiem thu'!$B$6:$B$27,A23)</f>
        <v>6</v>
      </c>
      <c r="H23" s="3" t="s">
        <v>36</v>
      </c>
    </row>
    <row r="24" spans="1:8" ht="30" customHeight="1">
      <c r="A24" s="3" t="s">
        <v>47</v>
      </c>
      <c r="B24" s="3" t="s">
        <v>48</v>
      </c>
      <c r="C24" s="3">
        <f>COUNTIFS('Cong viec'!$B$6:$B$47,A24)</f>
        <v>6</v>
      </c>
      <c r="D24" s="3">
        <f>SUMIFS('Cong viec'!$M$6:$M$47,'Cong viec'!$B$6:$B$47,A24)</f>
        <v>0</v>
      </c>
      <c r="E24" s="8">
        <f t="shared" si="1"/>
        <v>0</v>
      </c>
      <c r="F24" s="3">
        <f>SUMIFS('Nghiem thu'!$J$6:$J$27,'Nghiem thu'!$B$6:$B$27,A24)</f>
        <v>0</v>
      </c>
      <c r="G24" s="3">
        <f>COUNTIFS('Nghiem thu'!$B$6:$B$27,A24)</f>
        <v>2</v>
      </c>
      <c r="H24" s="3" t="s">
        <v>49</v>
      </c>
    </row>
    <row r="27" spans="1:8" ht="24" customHeight="1">
      <c r="A27" s="11" t="s">
        <v>50</v>
      </c>
      <c r="B27" s="11"/>
      <c r="C27" s="11"/>
      <c r="D27" s="11"/>
      <c r="E27" s="11"/>
      <c r="F27" s="11"/>
      <c r="G27" s="11"/>
      <c r="H27" s="11"/>
    </row>
    <row r="28" spans="1:8" ht="24" customHeight="1">
      <c r="A28" s="11" t="s">
        <v>51</v>
      </c>
      <c r="B28" s="11"/>
      <c r="C28" s="11"/>
      <c r="D28" s="11"/>
      <c r="E28" s="11"/>
      <c r="F28" s="11"/>
      <c r="G28" s="11"/>
      <c r="H28" s="11"/>
    </row>
    <row r="29" spans="1:8" ht="24" customHeight="1">
      <c r="A29" s="11" t="s">
        <v>52</v>
      </c>
      <c r="B29" s="11"/>
      <c r="C29" s="11"/>
      <c r="D29" s="11"/>
      <c r="E29" s="11"/>
      <c r="F29" s="11"/>
      <c r="G29" s="11"/>
      <c r="H29" s="11"/>
    </row>
    <row r="30" spans="1:8" ht="24" customHeight="1">
      <c r="A30" s="11" t="s">
        <v>53</v>
      </c>
      <c r="B30" s="11"/>
      <c r="C30" s="11"/>
      <c r="D30" s="11"/>
      <c r="E30" s="11"/>
      <c r="F30" s="11"/>
      <c r="G30" s="11"/>
      <c r="H30" s="11"/>
    </row>
  </sheetData>
  <dataValidations count="1">
    <dataValidation type="list" sqref="B5" xr:uid="{00000000-0002-0000-0000-000000000000}">
      <formula1>"Chưa mở,Đã mở"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47"/>
  <sheetViews>
    <sheetView showGridLines="0" tabSelected="1" workbookViewId="0">
      <pane xSplit="4" ySplit="5" topLeftCell="E6" activePane="bottomRight" state="frozen"/>
      <selection pane="topRight"/>
      <selection pane="bottomLeft"/>
      <selection pane="bottomRight" activeCell="G11" sqref="G11"/>
    </sheetView>
  </sheetViews>
  <sheetFormatPr defaultRowHeight="14.25"/>
  <cols>
    <col min="1" max="1" width="9" customWidth="1"/>
    <col min="2" max="2" width="8" customWidth="1"/>
    <col min="3" max="4" width="10" customWidth="1"/>
    <col min="5" max="5" width="35" customWidth="1"/>
    <col min="6" max="6" width="24" customWidth="1"/>
    <col min="7" max="7" width="45" customWidth="1"/>
    <col min="8" max="8" width="13" customWidth="1"/>
    <col min="9" max="9" width="14" customWidth="1"/>
    <col min="10" max="10" width="12" customWidth="1"/>
    <col min="11" max="11" width="25" customWidth="1"/>
    <col min="12" max="12" width="26" customWidth="1"/>
    <col min="13" max="13" width="12" customWidth="1"/>
    <col min="14" max="14" width="20" customWidth="1"/>
  </cols>
  <sheetData>
    <row r="2" spans="1:14" ht="29.1" customHeight="1">
      <c r="A2" s="1" t="s">
        <v>54</v>
      </c>
    </row>
    <row r="3" spans="1:14">
      <c r="A3" t="s">
        <v>55</v>
      </c>
    </row>
    <row r="4" spans="1:14">
      <c r="A4" t="s">
        <v>56</v>
      </c>
    </row>
    <row r="5" spans="1:14" ht="32.1" customHeight="1">
      <c r="A5" s="2" t="s">
        <v>6</v>
      </c>
      <c r="B5" s="2" t="s">
        <v>27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68</v>
      </c>
    </row>
    <row r="6" spans="1:14" ht="15" customHeight="1">
      <c r="A6" s="4" t="s">
        <v>69</v>
      </c>
      <c r="B6" s="4" t="s">
        <v>34</v>
      </c>
      <c r="C6" s="5" t="s">
        <v>14</v>
      </c>
      <c r="D6" s="5" t="s">
        <v>24</v>
      </c>
      <c r="E6" s="4" t="s">
        <v>70</v>
      </c>
      <c r="F6" s="4" t="s">
        <v>71</v>
      </c>
      <c r="G6" s="4" t="s">
        <v>72</v>
      </c>
      <c r="H6" s="6"/>
      <c r="I6" s="5" t="s">
        <v>73</v>
      </c>
      <c r="J6" s="5" t="s">
        <v>74</v>
      </c>
      <c r="K6" s="5"/>
      <c r="L6" s="5"/>
      <c r="M6" s="4">
        <f t="shared" ref="M6:M47" si="0">IF(AND(I6="Hoàn tất",J6="Đạt",K6&lt;&gt;"",C6&lt;&gt;D6),1,0)</f>
        <v>0</v>
      </c>
      <c r="N6" s="4" t="str">
        <f t="shared" ref="N6:N11" si="1">IF(M6=1,"Xong","Có thể bắt đầu")</f>
        <v>Có thể bắt đầu</v>
      </c>
    </row>
    <row r="7" spans="1:14" ht="24" customHeight="1">
      <c r="A7" s="3" t="s">
        <v>75</v>
      </c>
      <c r="B7" s="3" t="s">
        <v>34</v>
      </c>
      <c r="C7" s="5" t="s">
        <v>16</v>
      </c>
      <c r="D7" s="5" t="s">
        <v>20</v>
      </c>
      <c r="E7" s="3" t="s">
        <v>76</v>
      </c>
      <c r="F7" s="3" t="s">
        <v>71</v>
      </c>
      <c r="G7" s="3" t="s">
        <v>77</v>
      </c>
      <c r="H7" s="6"/>
      <c r="I7" s="5" t="s">
        <v>73</v>
      </c>
      <c r="J7" s="5" t="s">
        <v>74</v>
      </c>
      <c r="K7" s="5"/>
      <c r="L7" s="5"/>
      <c r="M7" s="3">
        <f t="shared" si="0"/>
        <v>0</v>
      </c>
      <c r="N7" s="3" t="str">
        <f t="shared" si="1"/>
        <v>Có thể bắt đầu</v>
      </c>
    </row>
    <row r="8" spans="1:14" ht="24" customHeight="1">
      <c r="A8" s="4" t="s">
        <v>78</v>
      </c>
      <c r="B8" s="4" t="s">
        <v>34</v>
      </c>
      <c r="C8" s="5" t="s">
        <v>18</v>
      </c>
      <c r="D8" s="5" t="s">
        <v>22</v>
      </c>
      <c r="E8" s="4" t="s">
        <v>79</v>
      </c>
      <c r="F8" s="4" t="s">
        <v>71</v>
      </c>
      <c r="G8" s="4" t="s">
        <v>80</v>
      </c>
      <c r="H8" s="6"/>
      <c r="I8" s="5" t="s">
        <v>73</v>
      </c>
      <c r="J8" s="5" t="s">
        <v>74</v>
      </c>
      <c r="K8" s="5"/>
      <c r="L8" s="5"/>
      <c r="M8" s="4">
        <f t="shared" si="0"/>
        <v>0</v>
      </c>
      <c r="N8" s="4" t="str">
        <f t="shared" si="1"/>
        <v>Có thể bắt đầu</v>
      </c>
    </row>
    <row r="9" spans="1:14" ht="15" customHeight="1">
      <c r="A9" s="3" t="s">
        <v>81</v>
      </c>
      <c r="B9" s="3" t="s">
        <v>34</v>
      </c>
      <c r="C9" s="5" t="s">
        <v>20</v>
      </c>
      <c r="D9" s="5" t="s">
        <v>16</v>
      </c>
      <c r="E9" s="3" t="s">
        <v>82</v>
      </c>
      <c r="F9" s="3" t="s">
        <v>71</v>
      </c>
      <c r="G9" s="3" t="s">
        <v>83</v>
      </c>
      <c r="H9" s="6"/>
      <c r="I9" s="5" t="s">
        <v>73</v>
      </c>
      <c r="J9" s="5" t="s">
        <v>74</v>
      </c>
      <c r="K9" s="5"/>
      <c r="L9" s="5"/>
      <c r="M9" s="3">
        <f t="shared" si="0"/>
        <v>0</v>
      </c>
      <c r="N9" s="3" t="str">
        <f t="shared" si="1"/>
        <v>Có thể bắt đầu</v>
      </c>
    </row>
    <row r="10" spans="1:14" ht="24" customHeight="1">
      <c r="A10" s="4" t="s">
        <v>84</v>
      </c>
      <c r="B10" s="4" t="s">
        <v>34</v>
      </c>
      <c r="C10" s="5" t="s">
        <v>22</v>
      </c>
      <c r="D10" s="5" t="s">
        <v>18</v>
      </c>
      <c r="E10" s="4" t="s">
        <v>85</v>
      </c>
      <c r="F10" s="4" t="s">
        <v>71</v>
      </c>
      <c r="G10" s="4" t="s">
        <v>86</v>
      </c>
      <c r="H10" s="6"/>
      <c r="I10" s="5" t="s">
        <v>73</v>
      </c>
      <c r="J10" s="5" t="s">
        <v>74</v>
      </c>
      <c r="K10" s="5"/>
      <c r="L10" s="5"/>
      <c r="M10" s="4">
        <f t="shared" si="0"/>
        <v>0</v>
      </c>
      <c r="N10" s="4" t="str">
        <f t="shared" si="1"/>
        <v>Có thể bắt đầu</v>
      </c>
    </row>
    <row r="11" spans="1:14" ht="24" customHeight="1">
      <c r="A11" s="3" t="s">
        <v>87</v>
      </c>
      <c r="B11" s="3" t="s">
        <v>34</v>
      </c>
      <c r="C11" s="5" t="s">
        <v>24</v>
      </c>
      <c r="D11" s="5" t="s">
        <v>14</v>
      </c>
      <c r="E11" s="3" t="s">
        <v>88</v>
      </c>
      <c r="F11" s="3" t="s">
        <v>71</v>
      </c>
      <c r="G11" s="3" t="s">
        <v>89</v>
      </c>
      <c r="H11" s="6"/>
      <c r="I11" s="5" t="s">
        <v>73</v>
      </c>
      <c r="J11" s="5" t="s">
        <v>74</v>
      </c>
      <c r="K11" s="5"/>
      <c r="L11" s="5"/>
      <c r="M11" s="3">
        <f t="shared" si="0"/>
        <v>0</v>
      </c>
      <c r="N11" s="3" t="str">
        <f t="shared" si="1"/>
        <v>Có thể bắt đầu</v>
      </c>
    </row>
    <row r="12" spans="1:14" ht="24" customHeight="1">
      <c r="A12" s="4" t="s">
        <v>90</v>
      </c>
      <c r="B12" s="4" t="s">
        <v>37</v>
      </c>
      <c r="C12" s="5" t="s">
        <v>14</v>
      </c>
      <c r="D12" s="5" t="s">
        <v>24</v>
      </c>
      <c r="E12" s="4" t="s">
        <v>91</v>
      </c>
      <c r="F12" s="4" t="s">
        <v>92</v>
      </c>
      <c r="G12" s="4" t="s">
        <v>93</v>
      </c>
      <c r="H12" s="6"/>
      <c r="I12" s="5" t="s">
        <v>4</v>
      </c>
      <c r="J12" s="5" t="s">
        <v>74</v>
      </c>
      <c r="K12" s="5"/>
      <c r="L12" s="5"/>
      <c r="M12" s="4">
        <f t="shared" si="0"/>
        <v>0</v>
      </c>
      <c r="N12" s="4" t="str">
        <f>IF(M12=1,"Xong",IF(AND(SUMIFS($M$6:$M$47,$A$6:$A$47,"SF01")=1,SUMIFS($M$6:$M$47,$A$6:$A$47,"SF02")=1,SUMIFS($M$6:$M$47,$A$6:$A$47,"SF03")=1,SUMIFS($M$6:$M$47,$A$6:$A$47,"SF04")=1,SUMIFS($M$6:$M$47,$A$6:$A$47,"SF05")=1,SUMIFS($M$6:$M$47,$A$6:$A$47,"SF06")=1),"Có thể bắt đầu","Chờ task trước"))</f>
        <v>Chờ task trước</v>
      </c>
    </row>
    <row r="13" spans="1:14" ht="24" customHeight="1">
      <c r="A13" s="3" t="s">
        <v>94</v>
      </c>
      <c r="B13" s="3" t="s">
        <v>37</v>
      </c>
      <c r="C13" s="5" t="s">
        <v>16</v>
      </c>
      <c r="D13" s="5" t="s">
        <v>20</v>
      </c>
      <c r="E13" s="3" t="s">
        <v>95</v>
      </c>
      <c r="F13" s="3" t="s">
        <v>90</v>
      </c>
      <c r="G13" s="3" t="s">
        <v>96</v>
      </c>
      <c r="H13" s="6"/>
      <c r="I13" s="5" t="s">
        <v>4</v>
      </c>
      <c r="J13" s="5" t="s">
        <v>74</v>
      </c>
      <c r="K13" s="5"/>
      <c r="L13" s="5"/>
      <c r="M13" s="3">
        <f t="shared" si="0"/>
        <v>0</v>
      </c>
      <c r="N13" s="3" t="str">
        <f>IF(M13=1,"Xong",IF(AND(SUMIFS($M$6:$M$47,$A$6:$A$47,"SF07")=1),"Có thể bắt đầu","Chờ task trước"))</f>
        <v>Chờ task trước</v>
      </c>
    </row>
    <row r="14" spans="1:14" ht="24" customHeight="1">
      <c r="A14" s="4" t="s">
        <v>97</v>
      </c>
      <c r="B14" s="4" t="s">
        <v>37</v>
      </c>
      <c r="C14" s="5" t="s">
        <v>18</v>
      </c>
      <c r="D14" s="5" t="s">
        <v>22</v>
      </c>
      <c r="E14" s="4" t="s">
        <v>98</v>
      </c>
      <c r="F14" s="4" t="s">
        <v>94</v>
      </c>
      <c r="G14" s="4" t="s">
        <v>99</v>
      </c>
      <c r="H14" s="6"/>
      <c r="I14" s="5" t="s">
        <v>4</v>
      </c>
      <c r="J14" s="5" t="s">
        <v>74</v>
      </c>
      <c r="K14" s="5"/>
      <c r="L14" s="5"/>
      <c r="M14" s="4">
        <f t="shared" si="0"/>
        <v>0</v>
      </c>
      <c r="N14" s="4" t="str">
        <f>IF(M14=1,"Xong",IF(AND(SUMIFS($M$6:$M$47,$A$6:$A$47,"SF08")=1),"Có thể bắt đầu","Chờ task trước"))</f>
        <v>Chờ task trước</v>
      </c>
    </row>
    <row r="15" spans="1:14" ht="24" customHeight="1">
      <c r="A15" s="3" t="s">
        <v>100</v>
      </c>
      <c r="B15" s="3" t="s">
        <v>37</v>
      </c>
      <c r="C15" s="5" t="s">
        <v>20</v>
      </c>
      <c r="D15" s="5" t="s">
        <v>16</v>
      </c>
      <c r="E15" s="3" t="s">
        <v>101</v>
      </c>
      <c r="F15" s="3" t="s">
        <v>94</v>
      </c>
      <c r="G15" s="3" t="s">
        <v>102</v>
      </c>
      <c r="H15" s="6"/>
      <c r="I15" s="5" t="s">
        <v>4</v>
      </c>
      <c r="J15" s="5" t="s">
        <v>74</v>
      </c>
      <c r="K15" s="5"/>
      <c r="L15" s="5"/>
      <c r="M15" s="3">
        <f t="shared" si="0"/>
        <v>0</v>
      </c>
      <c r="N15" s="3" t="str">
        <f>IF(M15=1,"Xong",IF(AND(SUMIFS($M$6:$M$47,$A$6:$A$47,"SF08")=1),"Có thể bắt đầu","Chờ task trước"))</f>
        <v>Chờ task trước</v>
      </c>
    </row>
    <row r="16" spans="1:14" ht="24" customHeight="1">
      <c r="A16" s="4" t="s">
        <v>103</v>
      </c>
      <c r="B16" s="4" t="s">
        <v>37</v>
      </c>
      <c r="C16" s="5" t="s">
        <v>22</v>
      </c>
      <c r="D16" s="5" t="s">
        <v>18</v>
      </c>
      <c r="E16" s="4" t="s">
        <v>104</v>
      </c>
      <c r="F16" s="4" t="s">
        <v>97</v>
      </c>
      <c r="G16" s="4" t="s">
        <v>105</v>
      </c>
      <c r="H16" s="6"/>
      <c r="I16" s="5" t="s">
        <v>4</v>
      </c>
      <c r="J16" s="5" t="s">
        <v>74</v>
      </c>
      <c r="K16" s="5"/>
      <c r="L16" s="5"/>
      <c r="M16" s="4">
        <f t="shared" si="0"/>
        <v>0</v>
      </c>
      <c r="N16" s="4" t="str">
        <f>IF(M16=1,"Xong",IF(AND(SUMIFS($M$6:$M$47,$A$6:$A$47,"SF09")=1),"Có thể bắt đầu","Chờ task trước"))</f>
        <v>Chờ task trước</v>
      </c>
    </row>
    <row r="17" spans="1:14" ht="15" customHeight="1">
      <c r="A17" s="3" t="s">
        <v>106</v>
      </c>
      <c r="B17" s="3" t="s">
        <v>37</v>
      </c>
      <c r="C17" s="5" t="s">
        <v>24</v>
      </c>
      <c r="D17" s="5" t="s">
        <v>14</v>
      </c>
      <c r="E17" s="3" t="s">
        <v>107</v>
      </c>
      <c r="F17" s="3" t="s">
        <v>108</v>
      </c>
      <c r="G17" s="3" t="s">
        <v>109</v>
      </c>
      <c r="H17" s="6"/>
      <c r="I17" s="5" t="s">
        <v>4</v>
      </c>
      <c r="J17" s="5" t="s">
        <v>74</v>
      </c>
      <c r="K17" s="5"/>
      <c r="L17" s="5"/>
      <c r="M17" s="3">
        <f t="shared" si="0"/>
        <v>0</v>
      </c>
      <c r="N17" s="3" t="str">
        <f>IF(M17=1,"Xong",IF(AND(SUMIFS($M$6:$M$47,$A$6:$A$47,"SF09")=1,SUMIFS($M$6:$M$47,$A$6:$A$47,"SF10")=1,SUMIFS($M$6:$M$47,$A$6:$A$47,"SF11")=1),"Có thể bắt đầu","Chờ task trước"))</f>
        <v>Chờ task trước</v>
      </c>
    </row>
    <row r="18" spans="1:14" ht="24" customHeight="1">
      <c r="A18" s="4" t="s">
        <v>110</v>
      </c>
      <c r="B18" s="4" t="s">
        <v>39</v>
      </c>
      <c r="C18" s="5" t="s">
        <v>14</v>
      </c>
      <c r="D18" s="5" t="s">
        <v>24</v>
      </c>
      <c r="E18" s="4" t="s">
        <v>111</v>
      </c>
      <c r="F18" s="4" t="s">
        <v>106</v>
      </c>
      <c r="G18" s="4" t="s">
        <v>112</v>
      </c>
      <c r="H18" s="6"/>
      <c r="I18" s="5" t="s">
        <v>4</v>
      </c>
      <c r="J18" s="5" t="s">
        <v>74</v>
      </c>
      <c r="K18" s="5"/>
      <c r="L18" s="5"/>
      <c r="M18" s="4">
        <f t="shared" si="0"/>
        <v>0</v>
      </c>
      <c r="N18" s="4" t="str">
        <f>IF(M18=1,"Xong",IF(AND(SUMIFS($M$6:$M$47,$A$6:$A$47,"SF12")=1),"Có thể bắt đầu","Chờ task trước"))</f>
        <v>Chờ task trước</v>
      </c>
    </row>
    <row r="19" spans="1:14" ht="24" customHeight="1">
      <c r="A19" s="3" t="s">
        <v>113</v>
      </c>
      <c r="B19" s="3" t="s">
        <v>39</v>
      </c>
      <c r="C19" s="5" t="s">
        <v>16</v>
      </c>
      <c r="D19" s="5" t="s">
        <v>20</v>
      </c>
      <c r="E19" s="3" t="s">
        <v>114</v>
      </c>
      <c r="F19" s="3" t="s">
        <v>110</v>
      </c>
      <c r="G19" s="3" t="s">
        <v>115</v>
      </c>
      <c r="H19" s="6"/>
      <c r="I19" s="5" t="s">
        <v>4</v>
      </c>
      <c r="J19" s="5" t="s">
        <v>74</v>
      </c>
      <c r="K19" s="5"/>
      <c r="L19" s="5"/>
      <c r="M19" s="3">
        <f t="shared" si="0"/>
        <v>0</v>
      </c>
      <c r="N19" s="3" t="str">
        <f>IF(M19=1,"Xong",IF(AND(SUMIFS($M$6:$M$47,$A$6:$A$47,"SF13")=1),"Có thể bắt đầu","Chờ task trước"))</f>
        <v>Chờ task trước</v>
      </c>
    </row>
    <row r="20" spans="1:14" ht="24" customHeight="1">
      <c r="A20" s="4" t="s">
        <v>116</v>
      </c>
      <c r="B20" s="4" t="s">
        <v>39</v>
      </c>
      <c r="C20" s="5" t="s">
        <v>18</v>
      </c>
      <c r="D20" s="5" t="s">
        <v>22</v>
      </c>
      <c r="E20" s="4" t="s">
        <v>117</v>
      </c>
      <c r="F20" s="4" t="s">
        <v>118</v>
      </c>
      <c r="G20" s="4" t="s">
        <v>119</v>
      </c>
      <c r="H20" s="6"/>
      <c r="I20" s="5" t="s">
        <v>4</v>
      </c>
      <c r="J20" s="5" t="s">
        <v>74</v>
      </c>
      <c r="K20" s="5"/>
      <c r="L20" s="5"/>
      <c r="M20" s="4">
        <f t="shared" si="0"/>
        <v>0</v>
      </c>
      <c r="N20" s="4" t="str">
        <f>IF(M20=1,"Xong",IF(AND(SUMIFS($M$6:$M$47,$A$6:$A$47,"SF13")=1,SUMIFS($M$6:$M$47,$A$6:$A$47,"SF14")=1),"Có thể bắt đầu","Chờ task trước"))</f>
        <v>Chờ task trước</v>
      </c>
    </row>
    <row r="21" spans="1:14" ht="15" customHeight="1">
      <c r="A21" s="3" t="s">
        <v>120</v>
      </c>
      <c r="B21" s="3" t="s">
        <v>39</v>
      </c>
      <c r="C21" s="5" t="s">
        <v>20</v>
      </c>
      <c r="D21" s="5" t="s">
        <v>16</v>
      </c>
      <c r="E21" s="3" t="s">
        <v>121</v>
      </c>
      <c r="F21" s="3" t="s">
        <v>118</v>
      </c>
      <c r="G21" s="3" t="s">
        <v>122</v>
      </c>
      <c r="H21" s="6"/>
      <c r="I21" s="5" t="s">
        <v>4</v>
      </c>
      <c r="J21" s="5" t="s">
        <v>74</v>
      </c>
      <c r="K21" s="5"/>
      <c r="L21" s="5"/>
      <c r="M21" s="3">
        <f t="shared" si="0"/>
        <v>0</v>
      </c>
      <c r="N21" s="3" t="str">
        <f>IF(M21=1,"Xong",IF(AND(SUMIFS($M$6:$M$47,$A$6:$A$47,"SF13")=1,SUMIFS($M$6:$M$47,$A$6:$A$47,"SF14")=1),"Có thể bắt đầu","Chờ task trước"))</f>
        <v>Chờ task trước</v>
      </c>
    </row>
    <row r="22" spans="1:14" ht="24" customHeight="1">
      <c r="A22" s="4" t="s">
        <v>123</v>
      </c>
      <c r="B22" s="4" t="s">
        <v>39</v>
      </c>
      <c r="C22" s="5" t="s">
        <v>22</v>
      </c>
      <c r="D22" s="5" t="s">
        <v>18</v>
      </c>
      <c r="E22" s="4" t="s">
        <v>124</v>
      </c>
      <c r="F22" s="4" t="s">
        <v>125</v>
      </c>
      <c r="G22" s="4" t="s">
        <v>126</v>
      </c>
      <c r="H22" s="6"/>
      <c r="I22" s="5" t="s">
        <v>4</v>
      </c>
      <c r="J22" s="5" t="s">
        <v>74</v>
      </c>
      <c r="K22" s="5"/>
      <c r="L22" s="5"/>
      <c r="M22" s="4">
        <f t="shared" si="0"/>
        <v>0</v>
      </c>
      <c r="N22" s="4" t="str">
        <f>IF(M22=1,"Xong",IF(AND(SUMIFS($M$6:$M$47,$A$6:$A$47,"SF14")=1,SUMIFS($M$6:$M$47,$A$6:$A$47,"SF15")=1),"Có thể bắt đầu","Chờ task trước"))</f>
        <v>Chờ task trước</v>
      </c>
    </row>
    <row r="23" spans="1:14" ht="24" customHeight="1">
      <c r="A23" s="3" t="s">
        <v>127</v>
      </c>
      <c r="B23" s="3" t="s">
        <v>39</v>
      </c>
      <c r="C23" s="5" t="s">
        <v>24</v>
      </c>
      <c r="D23" s="5" t="s">
        <v>14</v>
      </c>
      <c r="E23" s="3" t="s">
        <v>128</v>
      </c>
      <c r="F23" s="3" t="s">
        <v>129</v>
      </c>
      <c r="G23" s="3" t="s">
        <v>130</v>
      </c>
      <c r="H23" s="6"/>
      <c r="I23" s="5" t="s">
        <v>4</v>
      </c>
      <c r="J23" s="5" t="s">
        <v>74</v>
      </c>
      <c r="K23" s="5"/>
      <c r="L23" s="5"/>
      <c r="M23" s="3">
        <f t="shared" si="0"/>
        <v>0</v>
      </c>
      <c r="N23" s="3" t="str">
        <f>IF(M23=1,"Xong",IF(AND(SUMIFS($M$6:$M$47,$A$6:$A$47,"SF15")=1,SUMIFS($M$6:$M$47,$A$6:$A$47,"SF16")=1,SUMIFS($M$6:$M$47,$A$6:$A$47,"SF17")=1),"Có thể bắt đầu","Chờ task trước"))</f>
        <v>Chờ task trước</v>
      </c>
    </row>
    <row r="24" spans="1:14" ht="24" customHeight="1">
      <c r="A24" s="4" t="s">
        <v>131</v>
      </c>
      <c r="B24" s="4" t="s">
        <v>41</v>
      </c>
      <c r="C24" s="5" t="s">
        <v>14</v>
      </c>
      <c r="D24" s="5" t="s">
        <v>24</v>
      </c>
      <c r="E24" s="4" t="s">
        <v>132</v>
      </c>
      <c r="F24" s="4" t="s">
        <v>127</v>
      </c>
      <c r="G24" s="4" t="s">
        <v>133</v>
      </c>
      <c r="H24" s="6"/>
      <c r="I24" s="5" t="s">
        <v>4</v>
      </c>
      <c r="J24" s="5" t="s">
        <v>74</v>
      </c>
      <c r="K24" s="5"/>
      <c r="L24" s="5"/>
      <c r="M24" s="4">
        <f t="shared" si="0"/>
        <v>0</v>
      </c>
      <c r="N24" s="4" t="str">
        <f>IF(M24=1,"Xong",IF(AND(SUMIFS($M$6:$M$47,$A$6:$A$47,"SF18")=1),"Có thể bắt đầu","Chờ task trước"))</f>
        <v>Chờ task trước</v>
      </c>
    </row>
    <row r="25" spans="1:14" ht="24" customHeight="1">
      <c r="A25" s="3" t="s">
        <v>134</v>
      </c>
      <c r="B25" s="3" t="s">
        <v>41</v>
      </c>
      <c r="C25" s="5" t="s">
        <v>16</v>
      </c>
      <c r="D25" s="5" t="s">
        <v>20</v>
      </c>
      <c r="E25" s="3" t="s">
        <v>135</v>
      </c>
      <c r="F25" s="3" t="s">
        <v>131</v>
      </c>
      <c r="G25" s="3" t="s">
        <v>136</v>
      </c>
      <c r="H25" s="6"/>
      <c r="I25" s="5" t="s">
        <v>4</v>
      </c>
      <c r="J25" s="5" t="s">
        <v>74</v>
      </c>
      <c r="K25" s="5"/>
      <c r="L25" s="5"/>
      <c r="M25" s="3">
        <f t="shared" si="0"/>
        <v>0</v>
      </c>
      <c r="N25" s="3" t="str">
        <f>IF(M25=1,"Xong",IF(AND(SUMIFS($M$6:$M$47,$A$6:$A$47,"SF19")=1),"Có thể bắt đầu","Chờ task trước"))</f>
        <v>Chờ task trước</v>
      </c>
    </row>
    <row r="26" spans="1:14" ht="15" customHeight="1">
      <c r="A26" s="4" t="s">
        <v>137</v>
      </c>
      <c r="B26" s="4" t="s">
        <v>41</v>
      </c>
      <c r="C26" s="5" t="s">
        <v>18</v>
      </c>
      <c r="D26" s="5" t="s">
        <v>22</v>
      </c>
      <c r="E26" s="4" t="s">
        <v>138</v>
      </c>
      <c r="F26" s="4" t="s">
        <v>139</v>
      </c>
      <c r="G26" s="4" t="s">
        <v>140</v>
      </c>
      <c r="H26" s="6"/>
      <c r="I26" s="5" t="s">
        <v>4</v>
      </c>
      <c r="J26" s="5" t="s">
        <v>74</v>
      </c>
      <c r="K26" s="5"/>
      <c r="L26" s="5"/>
      <c r="M26" s="4">
        <f t="shared" si="0"/>
        <v>0</v>
      </c>
      <c r="N26" s="4" t="str">
        <f>IF(M26=1,"Xong",IF(AND(SUMIFS($M$6:$M$47,$A$6:$A$47,"SF22")=1),"Có thể bắt đầu","Chờ task trước"))</f>
        <v>Chờ task trước</v>
      </c>
    </row>
    <row r="27" spans="1:14" ht="24" customHeight="1">
      <c r="A27" s="3" t="s">
        <v>139</v>
      </c>
      <c r="B27" s="3" t="s">
        <v>41</v>
      </c>
      <c r="C27" s="5" t="s">
        <v>20</v>
      </c>
      <c r="D27" s="5" t="s">
        <v>16</v>
      </c>
      <c r="E27" s="3" t="s">
        <v>141</v>
      </c>
      <c r="F27" s="3" t="s">
        <v>142</v>
      </c>
      <c r="G27" s="3" t="s">
        <v>143</v>
      </c>
      <c r="H27" s="6"/>
      <c r="I27" s="5" t="s">
        <v>4</v>
      </c>
      <c r="J27" s="5" t="s">
        <v>74</v>
      </c>
      <c r="K27" s="5"/>
      <c r="L27" s="5"/>
      <c r="M27" s="3">
        <f t="shared" si="0"/>
        <v>0</v>
      </c>
      <c r="N27" s="3" t="str">
        <f>IF(M27=1,"Xong",IF(AND(SUMIFS($M$6:$M$47,$A$6:$A$47,"SF19")=1,SUMIFS($M$6:$M$47,$A$6:$A$47,"SF20")=1),"Có thể bắt đầu","Chờ task trước"))</f>
        <v>Chờ task trước</v>
      </c>
    </row>
    <row r="28" spans="1:14" ht="15" customHeight="1">
      <c r="A28" s="4" t="s">
        <v>144</v>
      </c>
      <c r="B28" s="4" t="s">
        <v>41</v>
      </c>
      <c r="C28" s="5" t="s">
        <v>22</v>
      </c>
      <c r="D28" s="5" t="s">
        <v>18</v>
      </c>
      <c r="E28" s="4" t="s">
        <v>145</v>
      </c>
      <c r="F28" s="4" t="s">
        <v>146</v>
      </c>
      <c r="G28" s="4" t="s">
        <v>147</v>
      </c>
      <c r="H28" s="6"/>
      <c r="I28" s="5" t="s">
        <v>4</v>
      </c>
      <c r="J28" s="5" t="s">
        <v>74</v>
      </c>
      <c r="K28" s="5"/>
      <c r="L28" s="5"/>
      <c r="M28" s="4">
        <f t="shared" si="0"/>
        <v>0</v>
      </c>
      <c r="N28" s="4" t="str">
        <f>IF(M28=1,"Xong",IF(AND(SUMIFS($M$6:$M$47,$A$6:$A$47,"SF20")=1,SUMIFS($M$6:$M$47,$A$6:$A$47,"SF22")=1),"Có thể bắt đầu","Chờ task trước"))</f>
        <v>Chờ task trước</v>
      </c>
    </row>
    <row r="29" spans="1:14" ht="24" customHeight="1">
      <c r="A29" s="3" t="s">
        <v>148</v>
      </c>
      <c r="B29" s="3" t="s">
        <v>41</v>
      </c>
      <c r="C29" s="5" t="s">
        <v>24</v>
      </c>
      <c r="D29" s="5" t="s">
        <v>14</v>
      </c>
      <c r="E29" s="3" t="s">
        <v>149</v>
      </c>
      <c r="F29" s="3" t="s">
        <v>150</v>
      </c>
      <c r="G29" s="3" t="s">
        <v>151</v>
      </c>
      <c r="H29" s="6"/>
      <c r="I29" s="5" t="s">
        <v>4</v>
      </c>
      <c r="J29" s="5" t="s">
        <v>74</v>
      </c>
      <c r="K29" s="5"/>
      <c r="L29" s="5"/>
      <c r="M29" s="3">
        <f t="shared" si="0"/>
        <v>0</v>
      </c>
      <c r="N29" s="3" t="str">
        <f>IF(M29=1,"Xong",IF(AND(SUMIFS($M$6:$M$47,$A$6:$A$47,"SF21")=1,SUMIFS($M$6:$M$47,$A$6:$A$47,"SF23")=1),"Có thể bắt đầu","Chờ task trước"))</f>
        <v>Chờ task trước</v>
      </c>
    </row>
    <row r="30" spans="1:14" ht="24" customHeight="1">
      <c r="A30" s="4" t="s">
        <v>152</v>
      </c>
      <c r="B30" s="4" t="s">
        <v>43</v>
      </c>
      <c r="C30" s="5" t="s">
        <v>14</v>
      </c>
      <c r="D30" s="5" t="s">
        <v>24</v>
      </c>
      <c r="E30" s="4" t="s">
        <v>153</v>
      </c>
      <c r="F30" s="4" t="s">
        <v>148</v>
      </c>
      <c r="G30" s="4" t="s">
        <v>154</v>
      </c>
      <c r="H30" s="6"/>
      <c r="I30" s="5" t="s">
        <v>4</v>
      </c>
      <c r="J30" s="5" t="s">
        <v>74</v>
      </c>
      <c r="K30" s="5"/>
      <c r="L30" s="5"/>
      <c r="M30" s="4">
        <f t="shared" si="0"/>
        <v>0</v>
      </c>
      <c r="N30" s="4" t="str">
        <f>IF(M30=1,"Xong",IF(AND(SUMIFS($M$6:$M$47,$A$6:$A$47,"SF24")=1),"Có thể bắt đầu","Chờ task trước"))</f>
        <v>Chờ task trước</v>
      </c>
    </row>
    <row r="31" spans="1:14" ht="24" customHeight="1">
      <c r="A31" s="3" t="s">
        <v>155</v>
      </c>
      <c r="B31" s="3" t="s">
        <v>43</v>
      </c>
      <c r="C31" s="5" t="s">
        <v>16</v>
      </c>
      <c r="D31" s="5" t="s">
        <v>20</v>
      </c>
      <c r="E31" s="3" t="s">
        <v>156</v>
      </c>
      <c r="F31" s="3" t="s">
        <v>152</v>
      </c>
      <c r="G31" s="3" t="s">
        <v>157</v>
      </c>
      <c r="H31" s="6"/>
      <c r="I31" s="5" t="s">
        <v>4</v>
      </c>
      <c r="J31" s="5" t="s">
        <v>74</v>
      </c>
      <c r="K31" s="5"/>
      <c r="L31" s="5"/>
      <c r="M31" s="3">
        <f t="shared" si="0"/>
        <v>0</v>
      </c>
      <c r="N31" s="3" t="str">
        <f>IF(M31=1,"Xong",IF(AND(SUMIFS($M$6:$M$47,$A$6:$A$47,"SF25")=1),"Có thể bắt đầu","Chờ task trước"))</f>
        <v>Chờ task trước</v>
      </c>
    </row>
    <row r="32" spans="1:14" ht="15" customHeight="1">
      <c r="A32" s="4" t="s">
        <v>158</v>
      </c>
      <c r="B32" s="4" t="s">
        <v>43</v>
      </c>
      <c r="C32" s="5" t="s">
        <v>18</v>
      </c>
      <c r="D32" s="5" t="s">
        <v>22</v>
      </c>
      <c r="E32" s="4" t="s">
        <v>159</v>
      </c>
      <c r="F32" s="4" t="s">
        <v>160</v>
      </c>
      <c r="G32" s="4" t="s">
        <v>161</v>
      </c>
      <c r="H32" s="6"/>
      <c r="I32" s="5" t="s">
        <v>4</v>
      </c>
      <c r="J32" s="5" t="s">
        <v>74</v>
      </c>
      <c r="K32" s="5"/>
      <c r="L32" s="5"/>
      <c r="M32" s="4">
        <f t="shared" si="0"/>
        <v>0</v>
      </c>
      <c r="N32" s="4" t="str">
        <f>IF(M32=1,"Xong",IF(AND(SUMIFS($M$6:$M$47,$A$6:$A$47,"SF28")=1),"Có thể bắt đầu","Chờ task trước"))</f>
        <v>Chờ task trước</v>
      </c>
    </row>
    <row r="33" spans="1:14" ht="15" customHeight="1">
      <c r="A33" s="3" t="s">
        <v>160</v>
      </c>
      <c r="B33" s="3" t="s">
        <v>43</v>
      </c>
      <c r="C33" s="5" t="s">
        <v>20</v>
      </c>
      <c r="D33" s="5" t="s">
        <v>16</v>
      </c>
      <c r="E33" s="3" t="s">
        <v>162</v>
      </c>
      <c r="F33" s="3" t="s">
        <v>163</v>
      </c>
      <c r="G33" s="3" t="s">
        <v>164</v>
      </c>
      <c r="H33" s="6"/>
      <c r="I33" s="5" t="s">
        <v>4</v>
      </c>
      <c r="J33" s="5" t="s">
        <v>74</v>
      </c>
      <c r="K33" s="5"/>
      <c r="L33" s="5"/>
      <c r="M33" s="3">
        <f t="shared" si="0"/>
        <v>0</v>
      </c>
      <c r="N33" s="3" t="str">
        <f>IF(M33=1,"Xong",IF(AND(SUMIFS($M$6:$M$47,$A$6:$A$47,"SF25")=1,SUMIFS($M$6:$M$47,$A$6:$A$47,"SF26")=1),"Có thể bắt đầu","Chờ task trước"))</f>
        <v>Chờ task trước</v>
      </c>
    </row>
    <row r="34" spans="1:14" ht="15" customHeight="1">
      <c r="A34" s="4" t="s">
        <v>165</v>
      </c>
      <c r="B34" s="4" t="s">
        <v>43</v>
      </c>
      <c r="C34" s="5" t="s">
        <v>22</v>
      </c>
      <c r="D34" s="5" t="s">
        <v>18</v>
      </c>
      <c r="E34" s="4" t="s">
        <v>166</v>
      </c>
      <c r="F34" s="4" t="s">
        <v>167</v>
      </c>
      <c r="G34" s="4" t="s">
        <v>168</v>
      </c>
      <c r="H34" s="6"/>
      <c r="I34" s="5" t="s">
        <v>4</v>
      </c>
      <c r="J34" s="5" t="s">
        <v>74</v>
      </c>
      <c r="K34" s="5"/>
      <c r="L34" s="5"/>
      <c r="M34" s="4">
        <f t="shared" si="0"/>
        <v>0</v>
      </c>
      <c r="N34" s="4" t="str">
        <f>IF(M34=1,"Xong",IF(AND(SUMIFS($M$6:$M$47,$A$6:$A$47,"SF26")=1,SUMIFS($M$6:$M$47,$A$6:$A$47,"SF28")=1),"Có thể bắt đầu","Chờ task trước"))</f>
        <v>Chờ task trước</v>
      </c>
    </row>
    <row r="35" spans="1:14" ht="15" customHeight="1">
      <c r="A35" s="3" t="s">
        <v>169</v>
      </c>
      <c r="B35" s="3" t="s">
        <v>43</v>
      </c>
      <c r="C35" s="5" t="s">
        <v>24</v>
      </c>
      <c r="D35" s="5" t="s">
        <v>14</v>
      </c>
      <c r="E35" s="3" t="s">
        <v>170</v>
      </c>
      <c r="F35" s="3" t="s">
        <v>171</v>
      </c>
      <c r="G35" s="3" t="s">
        <v>172</v>
      </c>
      <c r="H35" s="6"/>
      <c r="I35" s="5" t="s">
        <v>4</v>
      </c>
      <c r="J35" s="5" t="s">
        <v>74</v>
      </c>
      <c r="K35" s="5"/>
      <c r="L35" s="5"/>
      <c r="M35" s="3">
        <f t="shared" si="0"/>
        <v>0</v>
      </c>
      <c r="N35" s="3" t="str">
        <f>IF(M35=1,"Xong",IF(AND(SUMIFS($M$6:$M$47,$A$6:$A$47,"SF27")=1,SUMIFS($M$6:$M$47,$A$6:$A$47,"SF29")=1),"Có thể bắt đầu","Chờ task trước"))</f>
        <v>Chờ task trước</v>
      </c>
    </row>
    <row r="36" spans="1:14" ht="24" customHeight="1">
      <c r="A36" s="4" t="s">
        <v>173</v>
      </c>
      <c r="B36" s="4" t="s">
        <v>45</v>
      </c>
      <c r="C36" s="5" t="s">
        <v>14</v>
      </c>
      <c r="D36" s="5" t="s">
        <v>24</v>
      </c>
      <c r="E36" s="4" t="s">
        <v>174</v>
      </c>
      <c r="F36" s="4" t="s">
        <v>169</v>
      </c>
      <c r="G36" s="4" t="s">
        <v>175</v>
      </c>
      <c r="H36" s="6"/>
      <c r="I36" s="5" t="s">
        <v>4</v>
      </c>
      <c r="J36" s="5" t="s">
        <v>74</v>
      </c>
      <c r="K36" s="5"/>
      <c r="L36" s="5"/>
      <c r="M36" s="4">
        <f t="shared" si="0"/>
        <v>0</v>
      </c>
      <c r="N36" s="4" t="str">
        <f>IF(M36=1,"Xong",IF(AND(SUMIFS($M$6:$M$47,$A$6:$A$47,"SF30")=1),"Có thể bắt đầu","Chờ task trước"))</f>
        <v>Chờ task trước</v>
      </c>
    </row>
    <row r="37" spans="1:14" ht="15" customHeight="1">
      <c r="A37" s="3" t="s">
        <v>176</v>
      </c>
      <c r="B37" s="3" t="s">
        <v>45</v>
      </c>
      <c r="C37" s="5" t="s">
        <v>16</v>
      </c>
      <c r="D37" s="5" t="s">
        <v>20</v>
      </c>
      <c r="E37" s="3" t="s">
        <v>177</v>
      </c>
      <c r="F37" s="3" t="s">
        <v>173</v>
      </c>
      <c r="G37" s="3" t="s">
        <v>178</v>
      </c>
      <c r="H37" s="6"/>
      <c r="I37" s="5" t="s">
        <v>4</v>
      </c>
      <c r="J37" s="5" t="s">
        <v>74</v>
      </c>
      <c r="K37" s="5"/>
      <c r="L37" s="5"/>
      <c r="M37" s="3">
        <f t="shared" si="0"/>
        <v>0</v>
      </c>
      <c r="N37" s="3" t="str">
        <f>IF(M37=1,"Xong",IF(AND(SUMIFS($M$6:$M$47,$A$6:$A$47,"SF31")=1),"Có thể bắt đầu","Chờ task trước"))</f>
        <v>Chờ task trước</v>
      </c>
    </row>
    <row r="38" spans="1:14" ht="15" customHeight="1">
      <c r="A38" s="4" t="s">
        <v>179</v>
      </c>
      <c r="B38" s="4" t="s">
        <v>45</v>
      </c>
      <c r="C38" s="5" t="s">
        <v>18</v>
      </c>
      <c r="D38" s="5" t="s">
        <v>22</v>
      </c>
      <c r="E38" s="4" t="s">
        <v>180</v>
      </c>
      <c r="F38" s="4" t="s">
        <v>181</v>
      </c>
      <c r="G38" s="4" t="s">
        <v>182</v>
      </c>
      <c r="H38" s="6"/>
      <c r="I38" s="5" t="s">
        <v>4</v>
      </c>
      <c r="J38" s="5" t="s">
        <v>74</v>
      </c>
      <c r="K38" s="5"/>
      <c r="L38" s="5"/>
      <c r="M38" s="4">
        <f t="shared" si="0"/>
        <v>0</v>
      </c>
      <c r="N38" s="4" t="str">
        <f>IF(M38=1,"Xong",IF(AND(SUMIFS($M$6:$M$47,$A$6:$A$47,"SF34")=1),"Có thể bắt đầu","Chờ task trước"))</f>
        <v>Chờ task trước</v>
      </c>
    </row>
    <row r="39" spans="1:14" ht="24" customHeight="1">
      <c r="A39" s="3" t="s">
        <v>181</v>
      </c>
      <c r="B39" s="3" t="s">
        <v>45</v>
      </c>
      <c r="C39" s="5" t="s">
        <v>20</v>
      </c>
      <c r="D39" s="5" t="s">
        <v>16</v>
      </c>
      <c r="E39" s="3" t="s">
        <v>183</v>
      </c>
      <c r="F39" s="3" t="s">
        <v>173</v>
      </c>
      <c r="G39" s="3" t="s">
        <v>184</v>
      </c>
      <c r="H39" s="6"/>
      <c r="I39" s="5" t="s">
        <v>4</v>
      </c>
      <c r="J39" s="5" t="s">
        <v>74</v>
      </c>
      <c r="K39" s="5"/>
      <c r="L39" s="5"/>
      <c r="M39" s="3">
        <f t="shared" si="0"/>
        <v>0</v>
      </c>
      <c r="N39" s="3" t="str">
        <f>IF(M39=1,"Xong",IF(AND(SUMIFS($M$6:$M$47,$A$6:$A$47,"SF31")=1),"Có thể bắt đầu","Chờ task trước"))</f>
        <v>Chờ task trước</v>
      </c>
    </row>
    <row r="40" spans="1:14" ht="24" customHeight="1">
      <c r="A40" s="4" t="s">
        <v>185</v>
      </c>
      <c r="B40" s="4" t="s">
        <v>45</v>
      </c>
      <c r="C40" s="5" t="s">
        <v>22</v>
      </c>
      <c r="D40" s="5" t="s">
        <v>18</v>
      </c>
      <c r="E40" s="4" t="s">
        <v>186</v>
      </c>
      <c r="F40" s="4" t="s">
        <v>176</v>
      </c>
      <c r="G40" s="4" t="s">
        <v>187</v>
      </c>
      <c r="H40" s="6"/>
      <c r="I40" s="5" t="s">
        <v>4</v>
      </c>
      <c r="J40" s="5" t="s">
        <v>74</v>
      </c>
      <c r="K40" s="5"/>
      <c r="L40" s="5"/>
      <c r="M40" s="4">
        <f t="shared" si="0"/>
        <v>0</v>
      </c>
      <c r="N40" s="4" t="str">
        <f>IF(M40=1,"Xong",IF(AND(SUMIFS($M$6:$M$47,$A$6:$A$47,"SF32")=1),"Có thể bắt đầu","Chờ task trước"))</f>
        <v>Chờ task trước</v>
      </c>
    </row>
    <row r="41" spans="1:14" ht="24" customHeight="1">
      <c r="A41" s="3" t="s">
        <v>188</v>
      </c>
      <c r="B41" s="3" t="s">
        <v>45</v>
      </c>
      <c r="C41" s="5" t="s">
        <v>24</v>
      </c>
      <c r="D41" s="5" t="s">
        <v>14</v>
      </c>
      <c r="E41" s="3" t="s">
        <v>189</v>
      </c>
      <c r="F41" s="3" t="s">
        <v>190</v>
      </c>
      <c r="G41" s="3" t="s">
        <v>191</v>
      </c>
      <c r="H41" s="6"/>
      <c r="I41" s="5" t="s">
        <v>4</v>
      </c>
      <c r="J41" s="5" t="s">
        <v>74</v>
      </c>
      <c r="K41" s="5"/>
      <c r="L41" s="5"/>
      <c r="M41" s="3">
        <f t="shared" si="0"/>
        <v>0</v>
      </c>
      <c r="N41" s="3" t="str">
        <f>IF(M41=1,"Xong",IF(AND(SUMIFS($M$6:$M$47,$A$6:$A$47,"SF32")=1,SUMIFS($M$6:$M$47,$A$6:$A$47,"SF33")=1,SUMIFS($M$6:$M$47,$A$6:$A$47,"SF34")=1,SUMIFS($M$6:$M$47,$A$6:$A$47,"SF35")=1),"Có thể bắt đầu","Chờ task trước"))</f>
        <v>Chờ task trước</v>
      </c>
    </row>
    <row r="42" spans="1:14" ht="24" customHeight="1">
      <c r="A42" s="4" t="s">
        <v>192</v>
      </c>
      <c r="B42" s="4" t="s">
        <v>47</v>
      </c>
      <c r="C42" s="5" t="s">
        <v>14</v>
      </c>
      <c r="D42" s="5" t="s">
        <v>24</v>
      </c>
      <c r="E42" s="4" t="s">
        <v>193</v>
      </c>
      <c r="F42" s="4" t="s">
        <v>188</v>
      </c>
      <c r="G42" s="4" t="s">
        <v>194</v>
      </c>
      <c r="H42" s="6"/>
      <c r="I42" s="5" t="s">
        <v>4</v>
      </c>
      <c r="J42" s="5" t="s">
        <v>74</v>
      </c>
      <c r="K42" s="5"/>
      <c r="L42" s="5"/>
      <c r="M42" s="4">
        <f t="shared" si="0"/>
        <v>0</v>
      </c>
      <c r="N42" s="4" t="str">
        <f>IF(M42=1,"Xong",IF(Team!$B$5&lt;&gt;"Đã mở","Chưa mở M6",IF(AND(SUMIFS($M$6:$M$47,$A$6:$A$47,"SF36")=1),"Có thể bắt đầu","Chờ task trước")))</f>
        <v>Chưa mở M6</v>
      </c>
    </row>
    <row r="43" spans="1:14" ht="15" customHeight="1">
      <c r="A43" s="3" t="s">
        <v>195</v>
      </c>
      <c r="B43" s="3" t="s">
        <v>47</v>
      </c>
      <c r="C43" s="5" t="s">
        <v>16</v>
      </c>
      <c r="D43" s="5" t="s">
        <v>20</v>
      </c>
      <c r="E43" s="3" t="s">
        <v>196</v>
      </c>
      <c r="F43" s="3" t="s">
        <v>192</v>
      </c>
      <c r="G43" s="3" t="s">
        <v>197</v>
      </c>
      <c r="H43" s="6"/>
      <c r="I43" s="5" t="s">
        <v>4</v>
      </c>
      <c r="J43" s="5" t="s">
        <v>74</v>
      </c>
      <c r="K43" s="5"/>
      <c r="L43" s="5"/>
      <c r="M43" s="3">
        <f t="shared" si="0"/>
        <v>0</v>
      </c>
      <c r="N43" s="3" t="str">
        <f>IF(M43=1,"Xong",IF(Team!$B$5&lt;&gt;"Đã mở","Chưa mở M6",IF(AND(SUMIFS($M$6:$M$47,$A$6:$A$47,"SF37")=1),"Có thể bắt đầu","Chờ task trước")))</f>
        <v>Chưa mở M6</v>
      </c>
    </row>
    <row r="44" spans="1:14" ht="15" customHeight="1">
      <c r="A44" s="4" t="s">
        <v>198</v>
      </c>
      <c r="B44" s="4" t="s">
        <v>47</v>
      </c>
      <c r="C44" s="5" t="s">
        <v>18</v>
      </c>
      <c r="D44" s="5" t="s">
        <v>22</v>
      </c>
      <c r="E44" s="4" t="s">
        <v>199</v>
      </c>
      <c r="F44" s="4" t="s">
        <v>192</v>
      </c>
      <c r="G44" s="4" t="s">
        <v>200</v>
      </c>
      <c r="H44" s="6"/>
      <c r="I44" s="5" t="s">
        <v>4</v>
      </c>
      <c r="J44" s="5" t="s">
        <v>74</v>
      </c>
      <c r="K44" s="5"/>
      <c r="L44" s="5"/>
      <c r="M44" s="4">
        <f t="shared" si="0"/>
        <v>0</v>
      </c>
      <c r="N44" s="4" t="str">
        <f>IF(M44=1,"Xong",IF(Team!$B$5&lt;&gt;"Đã mở","Chưa mở M6",IF(AND(SUMIFS($M$6:$M$47,$A$6:$A$47,"SF37")=1),"Có thể bắt đầu","Chờ task trước")))</f>
        <v>Chưa mở M6</v>
      </c>
    </row>
    <row r="45" spans="1:14" ht="15" customHeight="1">
      <c r="A45" s="3" t="s">
        <v>201</v>
      </c>
      <c r="B45" s="3" t="s">
        <v>47</v>
      </c>
      <c r="C45" s="5" t="s">
        <v>20</v>
      </c>
      <c r="D45" s="5" t="s">
        <v>16</v>
      </c>
      <c r="E45" s="3" t="s">
        <v>202</v>
      </c>
      <c r="F45" s="3" t="s">
        <v>203</v>
      </c>
      <c r="G45" s="3" t="s">
        <v>204</v>
      </c>
      <c r="H45" s="6"/>
      <c r="I45" s="5" t="s">
        <v>4</v>
      </c>
      <c r="J45" s="5" t="s">
        <v>74</v>
      </c>
      <c r="K45" s="5"/>
      <c r="L45" s="5"/>
      <c r="M45" s="3">
        <f t="shared" si="0"/>
        <v>0</v>
      </c>
      <c r="N45" s="3" t="str">
        <f>IF(M45=1,"Xong",IF(Team!$B$5&lt;&gt;"Đã mở","Chưa mở M6",IF(AND(SUMIFS($M$6:$M$47,$A$6:$A$47,"SF37")=1,SUMIFS($M$6:$M$47,$A$6:$A$47,"SF38")=1),"Có thể bắt đầu","Chờ task trước")))</f>
        <v>Chưa mở M6</v>
      </c>
    </row>
    <row r="46" spans="1:14" ht="15" customHeight="1">
      <c r="A46" s="4" t="s">
        <v>205</v>
      </c>
      <c r="B46" s="4" t="s">
        <v>47</v>
      </c>
      <c r="C46" s="5" t="s">
        <v>22</v>
      </c>
      <c r="D46" s="5" t="s">
        <v>18</v>
      </c>
      <c r="E46" s="4" t="s">
        <v>206</v>
      </c>
      <c r="F46" s="4" t="s">
        <v>207</v>
      </c>
      <c r="G46" s="4" t="s">
        <v>208</v>
      </c>
      <c r="H46" s="6"/>
      <c r="I46" s="5" t="s">
        <v>4</v>
      </c>
      <c r="J46" s="5" t="s">
        <v>74</v>
      </c>
      <c r="K46" s="5"/>
      <c r="L46" s="5"/>
      <c r="M46" s="4">
        <f t="shared" si="0"/>
        <v>0</v>
      </c>
      <c r="N46" s="4" t="str">
        <f>IF(M46=1,"Xong",IF(Team!$B$5&lt;&gt;"Đã mở","Chưa mở M6",IF(AND(SUMIFS($M$6:$M$47,$A$6:$A$47,"SF39")=1,SUMIFS($M$6:$M$47,$A$6:$A$47,"SF40")=1),"Có thể bắt đầu","Chờ task trước")))</f>
        <v>Chưa mở M6</v>
      </c>
    </row>
    <row r="47" spans="1:14" ht="24" customHeight="1">
      <c r="A47" s="3" t="s">
        <v>209</v>
      </c>
      <c r="B47" s="3" t="s">
        <v>47</v>
      </c>
      <c r="C47" s="5" t="s">
        <v>24</v>
      </c>
      <c r="D47" s="5" t="s">
        <v>14</v>
      </c>
      <c r="E47" s="3" t="s">
        <v>210</v>
      </c>
      <c r="F47" s="3" t="s">
        <v>211</v>
      </c>
      <c r="G47" s="3" t="s">
        <v>212</v>
      </c>
      <c r="H47" s="6"/>
      <c r="I47" s="5" t="s">
        <v>4</v>
      </c>
      <c r="J47" s="5" t="s">
        <v>74</v>
      </c>
      <c r="K47" s="5"/>
      <c r="L47" s="5"/>
      <c r="M47" s="3">
        <f t="shared" si="0"/>
        <v>0</v>
      </c>
      <c r="N47" s="3" t="str">
        <f>IF(M47=1,"Xong",IF(Team!$B$5&lt;&gt;"Đã mở","Chưa mở M6",IF(AND(SUMIFS($M$6:$M$47,$A$6:$A$47,"SF38")=1,SUMIFS($M$6:$M$47,$A$6:$A$47,"SF41")=1),"Có thể bắt đầu","Chờ task trước")))</f>
        <v>Chưa mở M6</v>
      </c>
    </row>
  </sheetData>
  <conditionalFormatting sqref="D6:D47">
    <cfRule type="expression" dxfId="2" priority="2">
      <formula>D6=C6</formula>
    </cfRule>
  </conditionalFormatting>
  <conditionalFormatting sqref="I6:I47">
    <cfRule type="containsText" dxfId="1" priority="1" operator="containsText" text="Bị chặn"/>
  </conditionalFormatting>
  <dataValidations count="3">
    <dataValidation type="list" sqref="C6:D47" xr:uid="{00000000-0002-0000-0100-000000000000}">
      <formula1>"TV1,TV2,TV3,TV4,TV5,TV6"</formula1>
    </dataValidation>
    <dataValidation type="list" sqref="I6:I47" xr:uid="{00000000-0002-0000-0100-000001000000}">
      <formula1>"Chưa mở,Chưa làm,Đang làm,Bị chặn,Chờ review,Hoàn tất"</formula1>
    </dataValidation>
    <dataValidation type="list" sqref="J6:J47" xr:uid="{00000000-0002-0000-0100-000002000000}">
      <formula1>"Chưa,Đạt,Cần sửa"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25"/>
  <cols>
    <col min="1" max="1" width="9" customWidth="1"/>
    <col min="2" max="2" width="8" customWidth="1"/>
    <col min="3" max="3" width="13" customWidth="1"/>
    <col min="4" max="4" width="20" customWidth="1"/>
    <col min="5" max="6" width="49" customWidth="1"/>
    <col min="7" max="7" width="36" customWidth="1"/>
    <col min="8" max="8" width="14" customWidth="1"/>
    <col min="9" max="9" width="28" customWidth="1"/>
    <col min="10" max="10" width="12" customWidth="1"/>
  </cols>
  <sheetData>
    <row r="2" spans="1:10" ht="29.1" customHeight="1">
      <c r="A2" s="1" t="s">
        <v>213</v>
      </c>
    </row>
    <row r="3" spans="1:10">
      <c r="A3" t="s">
        <v>214</v>
      </c>
    </row>
    <row r="5" spans="1:10" ht="32.1" customHeight="1">
      <c r="A5" s="2" t="s">
        <v>6</v>
      </c>
      <c r="B5" s="2" t="s">
        <v>27</v>
      </c>
      <c r="C5" s="2" t="s">
        <v>215</v>
      </c>
      <c r="D5" s="2" t="s">
        <v>216</v>
      </c>
      <c r="E5" s="2" t="s">
        <v>217</v>
      </c>
      <c r="F5" s="2" t="s">
        <v>218</v>
      </c>
      <c r="G5" s="2" t="s">
        <v>219</v>
      </c>
      <c r="H5" s="2" t="s">
        <v>63</v>
      </c>
      <c r="I5" s="2" t="s">
        <v>65</v>
      </c>
      <c r="J5" s="2" t="s">
        <v>220</v>
      </c>
    </row>
    <row r="6" spans="1:10" ht="15" customHeight="1">
      <c r="A6" s="4" t="s">
        <v>221</v>
      </c>
      <c r="B6" s="4" t="s">
        <v>34</v>
      </c>
      <c r="C6" s="5" t="s">
        <v>24</v>
      </c>
      <c r="D6" s="4" t="s">
        <v>222</v>
      </c>
      <c r="E6" s="4" t="s">
        <v>223</v>
      </c>
      <c r="F6" s="4" t="s">
        <v>224</v>
      </c>
      <c r="G6" s="5"/>
      <c r="H6" s="5" t="s">
        <v>225</v>
      </c>
      <c r="I6" s="5"/>
      <c r="J6" s="4">
        <f t="shared" ref="J6:J27" si="0">IF(AND(H6="Đạt",G6&lt;&gt;"",I6&lt;&gt;""),1,0)</f>
        <v>0</v>
      </c>
    </row>
    <row r="7" spans="1:10" ht="15" customHeight="1">
      <c r="A7" s="3" t="s">
        <v>226</v>
      </c>
      <c r="B7" s="3" t="s">
        <v>37</v>
      </c>
      <c r="C7" s="5" t="s">
        <v>24</v>
      </c>
      <c r="D7" s="3" t="s">
        <v>227</v>
      </c>
      <c r="E7" s="3" t="s">
        <v>228</v>
      </c>
      <c r="F7" s="3" t="s">
        <v>229</v>
      </c>
      <c r="G7" s="5"/>
      <c r="H7" s="5" t="s">
        <v>225</v>
      </c>
      <c r="I7" s="5"/>
      <c r="J7" s="3">
        <f t="shared" si="0"/>
        <v>0</v>
      </c>
    </row>
    <row r="8" spans="1:10" ht="24" customHeight="1">
      <c r="A8" s="4" t="s">
        <v>230</v>
      </c>
      <c r="B8" s="4" t="s">
        <v>39</v>
      </c>
      <c r="C8" s="5" t="s">
        <v>20</v>
      </c>
      <c r="D8" s="4" t="s">
        <v>231</v>
      </c>
      <c r="E8" s="4" t="s">
        <v>232</v>
      </c>
      <c r="F8" s="4" t="s">
        <v>233</v>
      </c>
      <c r="G8" s="5"/>
      <c r="H8" s="5" t="s">
        <v>225</v>
      </c>
      <c r="I8" s="5"/>
      <c r="J8" s="4">
        <f t="shared" si="0"/>
        <v>0</v>
      </c>
    </row>
    <row r="9" spans="1:10" ht="24" customHeight="1">
      <c r="A9" s="3" t="s">
        <v>234</v>
      </c>
      <c r="B9" s="3" t="s">
        <v>39</v>
      </c>
      <c r="C9" s="5" t="s">
        <v>20</v>
      </c>
      <c r="D9" s="3" t="s">
        <v>235</v>
      </c>
      <c r="E9" s="3" t="s">
        <v>236</v>
      </c>
      <c r="F9" s="3" t="s">
        <v>237</v>
      </c>
      <c r="G9" s="5"/>
      <c r="H9" s="5" t="s">
        <v>225</v>
      </c>
      <c r="I9" s="5"/>
      <c r="J9" s="3">
        <f t="shared" si="0"/>
        <v>0</v>
      </c>
    </row>
    <row r="10" spans="1:10" ht="15" customHeight="1">
      <c r="A10" s="4" t="s">
        <v>238</v>
      </c>
      <c r="B10" s="4" t="s">
        <v>39</v>
      </c>
      <c r="C10" s="5" t="s">
        <v>22</v>
      </c>
      <c r="D10" s="4" t="s">
        <v>239</v>
      </c>
      <c r="E10" s="4" t="s">
        <v>240</v>
      </c>
      <c r="F10" s="4" t="s">
        <v>241</v>
      </c>
      <c r="G10" s="5"/>
      <c r="H10" s="5" t="s">
        <v>225</v>
      </c>
      <c r="I10" s="5"/>
      <c r="J10" s="4">
        <f t="shared" si="0"/>
        <v>0</v>
      </c>
    </row>
    <row r="11" spans="1:10" ht="15" customHeight="1">
      <c r="A11" s="3" t="s">
        <v>242</v>
      </c>
      <c r="B11" s="3" t="s">
        <v>39</v>
      </c>
      <c r="C11" s="5" t="s">
        <v>24</v>
      </c>
      <c r="D11" s="3" t="s">
        <v>127</v>
      </c>
      <c r="E11" s="3" t="s">
        <v>243</v>
      </c>
      <c r="F11" s="3" t="s">
        <v>244</v>
      </c>
      <c r="G11" s="5"/>
      <c r="H11" s="5" t="s">
        <v>225</v>
      </c>
      <c r="I11" s="5"/>
      <c r="J11" s="3">
        <f t="shared" si="0"/>
        <v>0</v>
      </c>
    </row>
    <row r="12" spans="1:10" ht="15" customHeight="1">
      <c r="A12" s="4" t="s">
        <v>245</v>
      </c>
      <c r="B12" s="4" t="s">
        <v>41</v>
      </c>
      <c r="C12" s="5" t="s">
        <v>20</v>
      </c>
      <c r="D12" s="4" t="s">
        <v>246</v>
      </c>
      <c r="E12" s="4" t="s">
        <v>247</v>
      </c>
      <c r="F12" s="4" t="s">
        <v>248</v>
      </c>
      <c r="G12" s="5"/>
      <c r="H12" s="5" t="s">
        <v>225</v>
      </c>
      <c r="I12" s="5"/>
      <c r="J12" s="4">
        <f t="shared" si="0"/>
        <v>0</v>
      </c>
    </row>
    <row r="13" spans="1:10" ht="15" customHeight="1">
      <c r="A13" s="3" t="s">
        <v>249</v>
      </c>
      <c r="B13" s="3" t="s">
        <v>41</v>
      </c>
      <c r="C13" s="5" t="s">
        <v>22</v>
      </c>
      <c r="D13" s="3" t="s">
        <v>250</v>
      </c>
      <c r="E13" s="3" t="s">
        <v>251</v>
      </c>
      <c r="F13" s="3" t="s">
        <v>252</v>
      </c>
      <c r="G13" s="5"/>
      <c r="H13" s="5" t="s">
        <v>225</v>
      </c>
      <c r="I13" s="5"/>
      <c r="J13" s="3">
        <f t="shared" si="0"/>
        <v>0</v>
      </c>
    </row>
    <row r="14" spans="1:10" ht="15" customHeight="1">
      <c r="A14" s="4" t="s">
        <v>253</v>
      </c>
      <c r="B14" s="4" t="s">
        <v>41</v>
      </c>
      <c r="C14" s="5" t="s">
        <v>22</v>
      </c>
      <c r="D14" s="4" t="s">
        <v>250</v>
      </c>
      <c r="E14" s="4" t="s">
        <v>254</v>
      </c>
      <c r="F14" s="4" t="s">
        <v>255</v>
      </c>
      <c r="G14" s="5"/>
      <c r="H14" s="5" t="s">
        <v>225</v>
      </c>
      <c r="I14" s="5"/>
      <c r="J14" s="4">
        <f t="shared" si="0"/>
        <v>0</v>
      </c>
    </row>
    <row r="15" spans="1:10" ht="15" customHeight="1">
      <c r="A15" s="3" t="s">
        <v>256</v>
      </c>
      <c r="B15" s="3" t="s">
        <v>41</v>
      </c>
      <c r="C15" s="5" t="s">
        <v>22</v>
      </c>
      <c r="D15" s="3" t="s">
        <v>257</v>
      </c>
      <c r="E15" s="3" t="s">
        <v>258</v>
      </c>
      <c r="F15" s="3" t="s">
        <v>259</v>
      </c>
      <c r="G15" s="5"/>
      <c r="H15" s="5" t="s">
        <v>225</v>
      </c>
      <c r="I15" s="5"/>
      <c r="J15" s="3">
        <f t="shared" si="0"/>
        <v>0</v>
      </c>
    </row>
    <row r="16" spans="1:10" ht="15" customHeight="1">
      <c r="A16" s="4" t="s">
        <v>260</v>
      </c>
      <c r="B16" s="4" t="s">
        <v>43</v>
      </c>
      <c r="C16" s="5" t="s">
        <v>24</v>
      </c>
      <c r="D16" s="4" t="s">
        <v>261</v>
      </c>
      <c r="E16" s="4" t="s">
        <v>262</v>
      </c>
      <c r="F16" s="4" t="s">
        <v>263</v>
      </c>
      <c r="G16" s="5"/>
      <c r="H16" s="5" t="s">
        <v>225</v>
      </c>
      <c r="I16" s="5"/>
      <c r="J16" s="4">
        <f t="shared" si="0"/>
        <v>0</v>
      </c>
    </row>
    <row r="17" spans="1:10" ht="15" customHeight="1">
      <c r="A17" s="3" t="s">
        <v>264</v>
      </c>
      <c r="B17" s="3" t="s">
        <v>43</v>
      </c>
      <c r="C17" s="5" t="s">
        <v>22</v>
      </c>
      <c r="D17" s="3" t="s">
        <v>265</v>
      </c>
      <c r="E17" s="3" t="s">
        <v>266</v>
      </c>
      <c r="F17" s="3" t="s">
        <v>267</v>
      </c>
      <c r="G17" s="5"/>
      <c r="H17" s="5" t="s">
        <v>225</v>
      </c>
      <c r="I17" s="5"/>
      <c r="J17" s="3">
        <f t="shared" si="0"/>
        <v>0</v>
      </c>
    </row>
    <row r="18" spans="1:10" ht="15" customHeight="1">
      <c r="A18" s="4" t="s">
        <v>268</v>
      </c>
      <c r="B18" s="4" t="s">
        <v>43</v>
      </c>
      <c r="C18" s="5" t="s">
        <v>22</v>
      </c>
      <c r="D18" s="4" t="s">
        <v>269</v>
      </c>
      <c r="E18" s="4" t="s">
        <v>270</v>
      </c>
      <c r="F18" s="4" t="s">
        <v>271</v>
      </c>
      <c r="G18" s="5"/>
      <c r="H18" s="5" t="s">
        <v>225</v>
      </c>
      <c r="I18" s="5"/>
      <c r="J18" s="4">
        <f t="shared" si="0"/>
        <v>0</v>
      </c>
    </row>
    <row r="19" spans="1:10" ht="15" customHeight="1">
      <c r="A19" s="3" t="s">
        <v>272</v>
      </c>
      <c r="B19" s="3" t="s">
        <v>43</v>
      </c>
      <c r="C19" s="5" t="s">
        <v>22</v>
      </c>
      <c r="D19" s="3" t="s">
        <v>165</v>
      </c>
      <c r="E19" s="3" t="s">
        <v>273</v>
      </c>
      <c r="F19" s="3" t="s">
        <v>274</v>
      </c>
      <c r="G19" s="5"/>
      <c r="H19" s="5" t="s">
        <v>225</v>
      </c>
      <c r="I19" s="5"/>
      <c r="J19" s="3">
        <f t="shared" si="0"/>
        <v>0</v>
      </c>
    </row>
    <row r="20" spans="1:10" ht="15" customHeight="1">
      <c r="A20" s="4" t="s">
        <v>275</v>
      </c>
      <c r="B20" s="4" t="s">
        <v>45</v>
      </c>
      <c r="C20" s="5" t="s">
        <v>24</v>
      </c>
      <c r="D20" s="4" t="s">
        <v>276</v>
      </c>
      <c r="E20" s="4" t="s">
        <v>277</v>
      </c>
      <c r="F20" s="4" t="s">
        <v>278</v>
      </c>
      <c r="G20" s="5"/>
      <c r="H20" s="5" t="s">
        <v>225</v>
      </c>
      <c r="I20" s="5"/>
      <c r="J20" s="4">
        <f t="shared" si="0"/>
        <v>0</v>
      </c>
    </row>
    <row r="21" spans="1:10" ht="15" customHeight="1">
      <c r="A21" s="3" t="s">
        <v>279</v>
      </c>
      <c r="B21" s="3" t="s">
        <v>45</v>
      </c>
      <c r="C21" s="5" t="s">
        <v>16</v>
      </c>
      <c r="D21" s="3" t="s">
        <v>176</v>
      </c>
      <c r="E21" s="3" t="s">
        <v>280</v>
      </c>
      <c r="F21" s="3" t="s">
        <v>281</v>
      </c>
      <c r="G21" s="5"/>
      <c r="H21" s="5" t="s">
        <v>225</v>
      </c>
      <c r="I21" s="5"/>
      <c r="J21" s="3">
        <f t="shared" si="0"/>
        <v>0</v>
      </c>
    </row>
    <row r="22" spans="1:10" ht="15" customHeight="1">
      <c r="A22" s="4" t="s">
        <v>282</v>
      </c>
      <c r="B22" s="4" t="s">
        <v>45</v>
      </c>
      <c r="C22" s="5" t="s">
        <v>22</v>
      </c>
      <c r="D22" s="4" t="s">
        <v>276</v>
      </c>
      <c r="E22" s="4" t="s">
        <v>283</v>
      </c>
      <c r="F22" s="4" t="s">
        <v>284</v>
      </c>
      <c r="G22" s="5"/>
      <c r="H22" s="5" t="s">
        <v>225</v>
      </c>
      <c r="I22" s="5"/>
      <c r="J22" s="4">
        <f t="shared" si="0"/>
        <v>0</v>
      </c>
    </row>
    <row r="23" spans="1:10" ht="24" customHeight="1">
      <c r="A23" s="3" t="s">
        <v>285</v>
      </c>
      <c r="B23" s="3" t="s">
        <v>45</v>
      </c>
      <c r="C23" s="5" t="s">
        <v>20</v>
      </c>
      <c r="D23" s="3" t="s">
        <v>286</v>
      </c>
      <c r="E23" s="3" t="s">
        <v>287</v>
      </c>
      <c r="F23" s="3" t="s">
        <v>288</v>
      </c>
      <c r="G23" s="5"/>
      <c r="H23" s="5" t="s">
        <v>225</v>
      </c>
      <c r="I23" s="5"/>
      <c r="J23" s="3">
        <f t="shared" si="0"/>
        <v>0</v>
      </c>
    </row>
    <row r="24" spans="1:10" ht="15" customHeight="1">
      <c r="A24" s="4" t="s">
        <v>289</v>
      </c>
      <c r="B24" s="4" t="s">
        <v>45</v>
      </c>
      <c r="C24" s="5" t="s">
        <v>24</v>
      </c>
      <c r="D24" s="4" t="s">
        <v>188</v>
      </c>
      <c r="E24" s="4" t="s">
        <v>290</v>
      </c>
      <c r="F24" s="4" t="s">
        <v>291</v>
      </c>
      <c r="G24" s="5"/>
      <c r="H24" s="5" t="s">
        <v>225</v>
      </c>
      <c r="I24" s="5"/>
      <c r="J24" s="4">
        <f t="shared" si="0"/>
        <v>0</v>
      </c>
    </row>
    <row r="25" spans="1:10" ht="15" customHeight="1">
      <c r="A25" s="3" t="s">
        <v>292</v>
      </c>
      <c r="B25" s="3" t="s">
        <v>45</v>
      </c>
      <c r="C25" s="5" t="s">
        <v>24</v>
      </c>
      <c r="D25" s="3" t="s">
        <v>188</v>
      </c>
      <c r="E25" s="3" t="s">
        <v>293</v>
      </c>
      <c r="F25" s="3" t="s">
        <v>294</v>
      </c>
      <c r="G25" s="5"/>
      <c r="H25" s="5" t="s">
        <v>225</v>
      </c>
      <c r="I25" s="5"/>
      <c r="J25" s="3">
        <f t="shared" si="0"/>
        <v>0</v>
      </c>
    </row>
    <row r="26" spans="1:10" ht="24" customHeight="1">
      <c r="A26" s="4" t="s">
        <v>295</v>
      </c>
      <c r="B26" s="4" t="s">
        <v>47</v>
      </c>
      <c r="C26" s="5" t="s">
        <v>22</v>
      </c>
      <c r="D26" s="4" t="s">
        <v>296</v>
      </c>
      <c r="E26" s="4" t="s">
        <v>297</v>
      </c>
      <c r="F26" s="4" t="s">
        <v>298</v>
      </c>
      <c r="G26" s="5"/>
      <c r="H26" s="5" t="s">
        <v>225</v>
      </c>
      <c r="I26" s="5"/>
      <c r="J26" s="4">
        <f t="shared" si="0"/>
        <v>0</v>
      </c>
    </row>
    <row r="27" spans="1:10" ht="24" customHeight="1">
      <c r="A27" s="3" t="s">
        <v>299</v>
      </c>
      <c r="B27" s="3" t="s">
        <v>47</v>
      </c>
      <c r="C27" s="5" t="s">
        <v>24</v>
      </c>
      <c r="D27" s="3" t="s">
        <v>300</v>
      </c>
      <c r="E27" s="3" t="s">
        <v>301</v>
      </c>
      <c r="F27" s="3" t="s">
        <v>302</v>
      </c>
      <c r="G27" s="5"/>
      <c r="H27" s="5" t="s">
        <v>225</v>
      </c>
      <c r="I27" s="5"/>
      <c r="J27" s="3">
        <f t="shared" si="0"/>
        <v>0</v>
      </c>
    </row>
  </sheetData>
  <conditionalFormatting sqref="H6:H27">
    <cfRule type="containsText" dxfId="0" priority="1" operator="containsText" text="Không đạt"/>
  </conditionalFormatting>
  <dataValidations count="2">
    <dataValidation type="list" sqref="C6:C27" xr:uid="{00000000-0002-0000-0200-000000000000}">
      <formula1>"TV1,TV2,TV3,TV4,TV5,TV6"</formula1>
    </dataValidation>
    <dataValidation type="list" sqref="H6:H27" xr:uid="{00000000-0002-0000-0200-000001000000}">
      <formula1>"Chưa chạy,Đạt,Không đạt,Bị chặn"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</vt:lpstr>
      <vt:lpstr>Cong viec</vt:lpstr>
      <vt:lpstr>Nghiem thu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Vuợng Kiều</cp:lastModifiedBy>
  <dcterms:modified xsi:type="dcterms:W3CDTF">2026-09-19T15:09:21Z</dcterms:modified>
</cp:coreProperties>
</file>
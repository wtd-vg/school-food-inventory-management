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a6bec00e6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" sheetId="1" r:id="Rc51bc708998d4109"/>
    <x:sheet xmlns:r="http://schemas.openxmlformats.org/officeDocument/2006/relationships" name="Cong viec" sheetId="2" r:id="R1ba7ceda8e134354"/>
    <x:sheet xmlns:r="http://schemas.openxmlformats.org/officeDocument/2006/relationships" name="Nghiem thu" sheetId="3" r:id="R4abb16ce16f64d26"/>
  </x:sheets>
</x:workbook>
</file>

<file path=xl/sharedStrings.xml><?xml version="1.0" encoding="utf-8"?>
<x:sst xmlns:x="http://schemas.openxmlformats.org/spreadsheetml/2006/main">
  <x:si>
    <x:t xml:space="preserve">SchoolFood phân công và tiến độ</x:t>
  </x:si>
  <x:si>
    <x:t xml:space="preserve">Mở M6</x:t>
  </x:si>
  <x:si>
    <x:t xml:space="preserve">Chưa mở</x:t>
  </x:si>
  <x:si>
    <x:t xml:space="preserve">Chỉ TV1 mở sau M5 và xác nhận tài khoản, chi phí, domain.</x:t>
  </x:si>
  <x:si>
    <x:t xml:space="preserve">Mã</x:t>
  </x:si>
  <x:si>
    <x:t xml:space="preserve">Tên thành viên</x:t>
  </x:si>
  <x:si>
    <x:t xml:space="preserve">Vai trò</x:t>
  </x:si>
  <x:si>
    <x:t xml:space="preserve">Task local</x:t>
  </x:si>
  <x:si>
    <x:t xml:space="preserve">Đã xong</x:t>
  </x:si>
  <x:si>
    <x:t xml:space="preserve">Tỷ lệ local</x:t>
  </x:si>
  <x:si>
    <x:t xml:space="preserve">Đang làm</x:t>
  </x:si>
  <x:si>
    <x:t xml:space="preserve">Bị chặn</x:t>
  </x:si>
  <x:si>
    <x:t xml:space="preserve">TV1</x:t>
  </x:si>
  <x:si>
    <x:t xml:space="preserve">Leader và tích hợp</x:t>
  </x:si>
  <x:si>
    <x:t xml:space="preserve">TV2</x:t>
  </x:si>
  <x:si>
    <x:t xml:space="preserve">Dữ liệu và nghiệp vụ backend</x:t>
  </x:si>
  <x:si>
    <x:t xml:space="preserve">TV3</x:t>
  </x:si>
  <x:si>
    <x:t xml:space="preserve">Giao diện chính</x:t>
  </x:si>
  <x:si>
    <x:t xml:space="preserve">TV4</x:t>
  </x:si>
  <x:si>
    <x:t xml:space="preserve">API và test backend</x:t>
  </x:si>
  <x:si>
    <x:t xml:space="preserve">TV5</x:t>
  </x:si>
  <x:si>
    <x:t xml:space="preserve">Giao diện và kiểm thử</x:t>
  </x:si>
  <x:si>
    <x:t xml:space="preserve">TV6</x:t>
  </x:si>
  <x:si>
    <x:t xml:space="preserve">QA và hỗ trợ tích hợp</x:t>
  </x:si>
  <x:si>
    <x:t xml:space="preserve">Tổng local</x:t>
  </x:si>
  <x:si>
    <x:t xml:space="preserve">Mốc</x:t>
  </x:si>
  <x:si>
    <x:t xml:space="preserve">Tên mốc</x:t>
  </x:si>
  <x:si>
    <x:t xml:space="preserve">Task</x:t>
  </x:si>
  <x:si>
    <x:t xml:space="preserve">Tỷ lệ</x:t>
  </x:si>
  <x:si>
    <x:t xml:space="preserve">Case đạt</x:t>
  </x:si>
  <x:si>
    <x:t xml:space="preserve">Số case</x:t>
  </x:si>
  <x:si>
    <x:t xml:space="preserve">Phạm vi</x:t>
  </x:si>
  <x:si>
    <x:t xml:space="preserve">M0</x:t>
  </x:si>
  <x:si>
    <x:t xml:space="preserve">Hiểu khung</x:t>
  </x:si>
  <x:si>
    <x:t xml:space="preserve">Bản local</x:t>
  </x:si>
  <x:si>
    <x:t xml:space="preserve">M1</x:t>
  </x:si>
  <x:si>
    <x:t xml:space="preserve">Category đọc</x:t>
  </x:si>
  <x:si>
    <x:t xml:space="preserve">M2</x:t>
  </x:si>
  <x:si>
    <x:t xml:space="preserve">Danh mục và auth</x:t>
  </x:si>
  <x:si>
    <x:t xml:space="preserve">M3</x:t>
  </x:si>
  <x:si>
    <x:t xml:space="preserve">Nhập kho</x:t>
  </x:si>
  <x:si>
    <x:t xml:space="preserve">M4</x:t>
  </x:si>
  <x:si>
    <x:t xml:space="preserve">Xuất kho</x:t>
  </x:si>
  <x:si>
    <x:t xml:space="preserve">M5</x:t>
  </x:si>
  <x:si>
    <x:t xml:space="preserve">Kiểm kê và báo cáo</x:t>
  </x:si>
  <x:si>
    <x:t xml:space="preserve">M6</x:t>
  </x:si>
  <x:si>
    <x:t xml:space="preserve">Deploy làm sau</x:t>
  </x:si>
  <x:si>
    <x:t xml:space="preserve">Mở sau khi chốt chi phí</x:t>
  </x:si>
  <x:si>
    <x:t xml:space="preserve">Nghiem thu: điền Kết quả thực tế và Bằng chứng; chỉ chọn Đạt khi đã chạy. Không đánh dấu thay người chưa thử.</x:t>
  </x:si>
  <x:si>
    <x:t xml:space="preserve">Nếu đổi owner, đổi reviewer tương ứng; ô reviewer đỏ nghĩa là trùng người làm. Hạn dự kiến để trống chờ team chốt.</x:t>
  </x:si>
  <x:si>
    <x:t xml:space="preserve">Người làm</x:t>
  </x:si>
  <x:si>
    <x:t xml:space="preserve">Reviewer</x:t>
  </x:si>
  <x:si>
    <x:t xml:space="preserve">Công việc</x:t>
  </x:si>
  <x:si>
    <x:t xml:space="preserve">Cần xong trước</x:t>
  </x:si>
  <x:si>
    <x:t xml:space="preserve">Điều kiện đạt</x:t>
  </x:si>
  <x:si>
    <x:t xml:space="preserve">Hạn dự kiến</x:t>
  </x:si>
  <x:si>
    <x:t xml:space="preserve">Trạng thái</x:t>
  </x:si>
  <x:si>
    <x:t xml:space="preserve">Review</x:t>
  </x:si>
  <x:si>
    <x:t xml:space="preserve">Bằng chứng</x:t>
  </x:si>
  <x:si>
    <x:t xml:space="preserve">Trở ngại hoặc bước tiếp</x:t>
  </x:si>
  <x:si>
    <x:t xml:space="preserve">Được tính xong</x:t>
  </x:si>
  <x:si>
    <x:t xml:space="preserve">Có thể bắt đầu</x:t>
  </x:si>
  <x:si>
    <x:t xml:space="preserve">SF01</x:t>
  </x:si>
  <x:si>
    <x:t xml:space="preserve">Chốt cách làm và chạy khung trên máy leader</x:t>
  </x:si>
  <x:si>
    <x:t xml:space="preserve">Không</x:t>
  </x:si>
  <x:si>
    <x:t xml:space="preserve">Leader chạy được khung và xác nhận tên của đủ 6 người.</x:t>
  </x:si>
  <x:si>
    <x:t xml:space="preserve">Chưa làm</x:t>
  </x:si>
  <x:si>
    <x:t xml:space="preserve">Chưa</x:t>
  </x:si>
  <x:si>
    <x:t xml:space="preserve">SF02</x:t>
  </x:si>
  <x:si>
    <x:t xml:space="preserve">Đọc Django và PostgreSQL</x:t>
  </x:si>
  <x:si>
    <x:t xml:space="preserve">Giải thích được URL, view, truy vấn và JSON; có bằng chứng chạy local.</x:t>
  </x:si>
  <x:si>
    <x:t xml:space="preserve">SF03</x:t>
  </x:si>
  <x:si>
    <x:t xml:space="preserve">Đọc React và vòng gọi API</x:t>
  </x:si>
  <x:si>
    <x:t xml:space="preserve">Giải thích được state, useEffect, fetch và proxy; không nhầm React truy cập DB trực tiếp.</x:t>
  </x:si>
  <x:si>
    <x:t xml:space="preserve">SF04</x:t>
  </x:si>
  <x:si>
    <x:t xml:space="preserve">Chạy test mẫu và đọc lỗi</x:t>
  </x:si>
  <x:si>
    <x:t xml:space="preserve">Có test pass và biết tìm expected/actual khi test fail.</x:t>
  </x:si>
  <x:si>
    <x:t xml:space="preserve">SF05</x:t>
  </x:si>
  <x:si>
    <x:t xml:space="preserve">Thử trạng thái lỗi của giao diện</x:t>
  </x:si>
  <x:si>
    <x:t xml:space="preserve">Biết phân biệt lỗi UI, API và database; bằng chứng gồm thành công và thất bại.</x:t>
  </x:si>
  <x:si>
    <x:t xml:space="preserve">SF06</x:t>
  </x:si>
  <x:si>
    <x:t xml:space="preserve">Xác minh onboarding trên máy thứ hai</x:t>
  </x:si>
  <x:si>
    <x:t xml:space="preserve">Một người khác có thể chạy theo hướng dẫn; không đánh dấu thay ai chưa chạy.</x:t>
  </x:si>
  <x:si>
    <x:t xml:space="preserve">SF07</x:t>
  </x:si>
  <x:si>
    <x:t xml:space="preserve">Chốt Category và cách chia branch</x:t>
  </x:si>
  <x:si>
    <x:t xml:space="preserve">SF01, SF02, SF03, SF04, SF05, SF06</x:t>
  </x:si>
  <x:si>
    <x:t xml:space="preserve">Cả backend và frontend dùng một contract; cả 6 người đã qua M0.</x:t>
  </x:si>
  <x:si>
    <x:t xml:space="preserve">SF08</x:t>
  </x:si>
  <x:si>
    <x:t xml:space="preserve">Model Category và API danh sách</x:t>
  </x:si>
  <x:si>
    <x:t xml:space="preserve">Database giữ dữ liệu qua reload; GET trả đúng 2 nhóm hoặc mảng rỗng.</x:t>
  </x:si>
  <x:si>
    <x:t xml:space="preserve">SF09</x:t>
  </x:si>
  <x:si>
    <x:t xml:space="preserve">Trang danh sách Category</x:t>
  </x:si>
  <x:si>
    <x:t xml:space="preserve">Trang hiển thị đúng dữ liệu PostgreSQL, kể cả rỗng và mất kết nối.</x:t>
  </x:si>
  <x:si>
    <x:t xml:space="preserve">SF10</x:t>
  </x:si>
  <x:si>
    <x:t xml:space="preserve">Test Category đọc và ràng buộc</x:t>
  </x:si>
  <x:si>
    <x:t xml:space="preserve">Test pass trên database test riêng; không sửa tay dữ liệu local để test pass.</x:t>
  </x:si>
  <x:si>
    <x:t xml:space="preserve">SF11</x:t>
  </x:si>
  <x:si>
    <x:t xml:space="preserve">Review giao diện Category</x:t>
  </x:si>
  <x:si>
    <x:t xml:space="preserve">Không mất chữ quan trọng, lỗi dễ hiểu, không phát sinh dependency mới.</x:t>
  </x:si>
  <x:si>
    <x:t xml:space="preserve">SF12</x:t>
  </x:si>
  <x:si>
    <x:t xml:space="preserve">Nghiệm thu lát cắt Category</x:t>
  </x:si>
  <x:si>
    <x:t xml:space="preserve">SF09, SF10, SF11</x:t>
  </x:si>
  <x:si>
    <x:t xml:space="preserve">Lát cắt DB → API → React chạy trên máy thứ hai.</x:t>
  </x:si>
  <x:si>
    <x:t xml:space="preserve">SF13</x:t>
  </x:si>
  <x:si>
    <x:t xml:space="preserve">Session đăng nhập và quyền API</x:t>
  </x:si>
  <x:si>
    <x:t xml:space="preserve">Manager đọc/ghi, viewer chỉ đọc; POST thiếu CSRF bị từ chối.</x:t>
  </x:si>
  <x:si>
    <x:t xml:space="preserve">SF14</x:t>
  </x:si>
  <x:si>
    <x:t xml:space="preserve">Danh mục đầy đủ và API ghi</x:t>
  </x:si>
  <x:si>
    <x:t xml:space="preserve">CRUD tối thiểu gồm xem/tạo/sửa/ngừng dùng; API không nhận chỉnh tồn trực tiếp.</x:t>
  </x:si>
  <x:si>
    <x:t xml:space="preserve">SF15</x:t>
  </x:si>
  <x:si>
    <x:t xml:space="preserve">Giao diện đăng nhập và danh mục thực phẩm</x:t>
  </x:si>
  <x:si>
    <x:t xml:space="preserve">SF13, SF14</x:t>
  </x:si>
  <x:si>
    <x:t xml:space="preserve">Đăng nhập thật; xem/tạo/sửa thực phẩm được; hết session quay về login.</x:t>
  </x:si>
  <x:si>
    <x:t xml:space="preserve">SF16</x:t>
  </x:si>
  <x:si>
    <x:t xml:space="preserve">Test quyền và validation danh mục</x:t>
  </x:si>
  <x:si>
    <x:t xml:space="preserve">Test xác nhận cả response và trạng thái database khi lỗi.</x:t>
  </x:si>
  <x:si>
    <x:t xml:space="preserve">SF17</x:t>
  </x:si>
  <x:si>
    <x:t xml:space="preserve">Giao diện Supplier và lỗi dùng chung</x:t>
  </x:si>
  <x:si>
    <x:t xml:space="preserve">SF14, SF15</x:t>
  </x:si>
  <x:si>
    <x:t xml:space="preserve">Supplier tạo/sửa/ngừng dùng được; lỗi hiển thị rõ và nút không gửi lặp.</x:t>
  </x:si>
  <x:si>
    <x:t xml:space="preserve">SF18</x:t>
  </x:si>
  <x:si>
    <x:t xml:space="preserve">Seed danh mục và nghiệm thu M2</x:t>
  </x:si>
  <x:si>
    <x:t xml:space="preserve">SF15, SF16, SF17</x:t>
  </x:si>
  <x:si>
    <x:t xml:space="preserve">Demo local lặp được; đủ tài khoản quyền; không nhân đôi danh mục.</x:t>
  </x:si>
  <x:si>
    <x:t xml:space="preserve">SF19</x:t>
  </x:si>
  <x:si>
    <x:t xml:space="preserve">Chốt model phiếu nhập và sổ kho</x:t>
  </x:si>
  <x:si>
    <x:t xml:space="preserve">Mô hình hỗ trợ nhiều dòng và không cho lặp cùng food trong một phiếu.</x:t>
  </x:si>
  <x:si>
    <x:t xml:space="preserve">SF20</x:t>
  </x:si>
  <x:si>
    <x:t xml:space="preserve">Nghiệp vụ chốt nhập và giá bình quân</x:t>
  </x:si>
  <x:si>
    <x:t xml:space="preserve">Chốt một lần duy nhất; lỗi bất kỳ dòng nào rollback cả phiếu.</x:t>
  </x:si>
  <x:si>
    <x:t xml:space="preserve">SF21</x:t>
  </x:si>
  <x:si>
    <x:t xml:space="preserve">Giao diện phiếu nhập</x:t>
  </x:si>
  <x:si>
    <x:t xml:space="preserve">SF22</x:t>
  </x:si>
  <x:si>
    <x:t xml:space="preserve">Người dùng phân biệt Lưu nháp và Chốt; total do server trả.</x:t>
  </x:si>
  <x:si>
    <x:t xml:space="preserve">API tạo nháp xem và chốt nhập</x:t>
  </x:si>
  <x:si>
    <x:t xml:space="preserve">SF19, SF20</x:t>
  </x:si>
  <x:si>
    <x:t xml:space="preserve">API phân biệt draft/posted và error rõ; không có sửa/xóa posted.</x:t>
  </x:si>
  <x:si>
    <x:t xml:space="preserve">SF23</x:t>
  </x:si>
  <x:si>
    <x:t xml:space="preserve">Kiểm thử nhập kho và rollback</x:t>
  </x:si>
  <x:si>
    <x:t xml:space="preserve">SF20, SF22</x:t>
  </x:si>
  <x:si>
    <x:t xml:space="preserve">AC08–AC10 có test tự động; không chỉ kiểm tra status 200.</x:t>
  </x:si>
  <x:si>
    <x:t xml:space="preserve">SF24</x:t>
  </x:si>
  <x:si>
    <x:t xml:space="preserve">Nghiệm thu nhập kho với dữ liệu chuẩn</x:t>
  </x:si>
  <x:si>
    <x:t xml:space="preserve">SF21, SF23</x:t>
  </x:si>
  <x:si>
    <x:t xml:space="preserve">M3 chạy từ UI đến DB trên máy thứ hai; số liệu khớp bộ mẫu.</x:t>
  </x:si>
  <x:si>
    <x:t xml:space="preserve">SF25</x:t>
  </x:si>
  <x:si>
    <x:t xml:space="preserve">Chốt model và contract phiếu xuất</x:t>
  </x:si>
  <x:si>
    <x:t xml:space="preserve">Xuất có chứng từ và tham chiếu ledger; dùng cùng quy tắc bất biến như nhập.</x:t>
  </x:si>
  <x:si>
    <x:t xml:space="preserve">SF26</x:t>
  </x:si>
  <x:si>
    <x:t xml:space="preserve">Nghiệp vụ chốt xuất chống âm kho</x:t>
  </x:si>
  <x:si>
    <x:t xml:space="preserve">Không âm kho; giá xuất dùng giá tại lúc chốt; không ghi dở phiếu.</x:t>
  </x:si>
  <x:si>
    <x:t xml:space="preserve">SF27</x:t>
  </x:si>
  <x:si>
    <x:t xml:space="preserve">Giao diện xuất kho</x:t>
  </x:si>
  <x:si>
    <x:t xml:space="preserve">SF28</x:t>
  </x:si>
  <x:si>
    <x:t xml:space="preserve">UI đi hết luồng draft → posted và phản ánh tồn mới.</x:t>
  </x:si>
  <x:si>
    <x:t xml:space="preserve">API phiếu xuất</x:t>
  </x:si>
  <x:si>
    <x:t xml:space="preserve">SF25, SF26</x:t>
  </x:si>
  <x:si>
    <x:t xml:space="preserve">API đúng contract và không thay tồn khi lỗi.</x:t>
  </x:si>
  <x:si>
    <x:t xml:space="preserve">SF29</x:t>
  </x:si>
  <x:si>
    <x:t xml:space="preserve">Test xuất đồng thời và trường hợp biên</x:t>
  </x:si>
  <x:si>
    <x:t xml:space="preserve">SF26, SF28</x:t>
  </x:si>
  <x:si>
    <x:t xml:space="preserve">Không có âm kho khi hai người chốt đồng thời.</x:t>
  </x:si>
  <x:si>
    <x:t xml:space="preserve">SF30</x:t>
  </x:si>
  <x:si>
    <x:t xml:space="preserve">Nghiệm thu luồng nhập rồi xuất</x:t>
  </x:si>
  <x:si>
    <x:t xml:space="preserve">SF27, SF29</x:t>
  </x:si>
  <x:si>
    <x:t xml:space="preserve">Nhập và xuất dùng cùng số liệu và đều chạy từ UI.</x:t>
  </x:si>
  <x:si>
    <x:t xml:space="preserve">SF31</x:t>
  </x:si>
  <x:si>
    <x:t xml:space="preserve">Chốt kiểm kê và tiêu chí hoàn tất local</x:t>
  </x:si>
  <x:si>
    <x:t xml:space="preserve">Dữ liệu đủ phát hiện kiểm kê cũ; cả team hiểu chênh lệch không đồng nghĩa gian lận.</x:t>
  </x:si>
  <x:si>
    <x:t xml:space="preserve">SF32</x:t>
  </x:si>
  <x:si>
    <x:t xml:space="preserve">Service và API kiểm kê</x:t>
  </x:si>
  <x:si>
    <x:t xml:space="preserve">Tồn 80 đếm 77 cho -3, tồn cuối 77; snapshot cũ bị từ chối.</x:t>
  </x:si>
  <x:si>
    <x:t xml:space="preserve">SF33</x:t>
  </x:si>
  <x:si>
    <x:t xml:space="preserve">Trang báo cáo tồn và lịch sử</x:t>
  </x:si>
  <x:si>
    <x:t xml:space="preserve">SF34</x:t>
  </x:si>
  <x:si>
    <x:t xml:space="preserve">Báo cáo khớp kho, lọc đúng ngày và truy vết chứng từ.</x:t>
  </x:si>
  <x:si>
    <x:t xml:space="preserve">API báo cáo tồn và sổ giao dịch</x:t>
  </x:si>
  <x:si>
    <x:t xml:space="preserve">Báo cáo chỉ đọc, số lượng khớp tổng quantity_delta; tiền theo rule làm tròn.</x:t>
  </x:si>
  <x:si>
    <x:t xml:space="preserve">SF35</x:t>
  </x:si>
  <x:si>
    <x:t xml:space="preserve">Giao diện kiểm kê</x:t>
  </x:si>
  <x:si>
    <x:t xml:space="preserve">Phân biệt chưa nhập với 0; kiểm kê cũ không thể ghi đè tồn.</x:t>
  </x:si>
  <x:si>
    <x:t xml:space="preserve">SF36</x:t>
  </x:si>
  <x:si>
    <x:t xml:space="preserve">Nghiệm thu toàn bộ MVP local</x:t>
  </x:si>
  <x:si>
    <x:t xml:space="preserve">SF32, SF33, SF34, SF35</x:t>
  </x:si>
  <x:si>
    <x:t xml:space="preserve">MVP local đủ bằng chứng; không đánh dấu xong chỉ dựa vào build pass.</x:t>
  </x:si>
  <x:si>
    <x:t xml:space="preserve">SF37</x:t>
  </x:si>
  <x:si>
    <x:t xml:space="preserve">Chốt ngân sách và thiết kế deploy</x:t>
  </x:si>
  <x:si>
    <x:t xml:space="preserve">Có quyết định chi phí và kế hoạch deploy được chủ dự án chấp thuận.</x:t>
  </x:si>
  <x:si>
    <x:t xml:space="preserve">SF38</x:t>
  </x:si>
  <x:si>
    <x:t xml:space="preserve">Database staging và backup thử</x:t>
  </x:si>
  <x:si>
    <x:t xml:space="preserve">Staging riêng, migration và phục hồi dữ liệu được kiểm tra.</x:t>
  </x:si>
  <x:si>
    <x:t xml:space="preserve">SF39</x:t>
  </x:si>
  <x:si>
    <x:t xml:space="preserve">Build giao diện cho môi trường deploy</x:t>
  </x:si>
  <x:si>
    <x:t xml:space="preserve">Bản build staging hiển thị và gọi API đúng.</x:t>
  </x:si>
  <x:si>
    <x:t xml:space="preserve">SF40</x:t>
  </x:si>
  <x:si>
    <x:t xml:space="preserve">Kiểm tra cấu hình production</x:t>
  </x:si>
  <x:si>
    <x:t xml:space="preserve">SF37, SF38</x:t>
  </x:si>
  <x:si>
    <x:t xml:space="preserve">Thiết lập production được kiểm tra độc lập trước public.</x:t>
  </x:si>
  <x:si>
    <x:t xml:space="preserve">SF41</x:t>
  </x:si>
  <x:si>
    <x:t xml:space="preserve">Kiểm tra tên miền và giao diện public</x:t>
  </x:si>
  <x:si>
    <x:t xml:space="preserve">SF39, SF40</x:t>
  </x:si>
  <x:si>
    <x:t xml:space="preserve">Domain thật phục vụ đúng ứng dụng và HTTPS hợp lệ.</x:t>
  </x:si>
  <x:si>
    <x:t xml:space="preserve">SF42</x:t>
  </x:si>
  <x:si>
    <x:t xml:space="preserve">Bàn giao bản deploy và diễn tập khôi phục</x:t>
  </x:si>
  <x:si>
    <x:t xml:space="preserve">SF38, SF41</x:t>
  </x:si>
  <x:si>
    <x:t xml:space="preserve">Có người vận hành và hướng dẫn khôi phục; domain/DB không lệ thuộc tài khoản cá nhân mất quyền.</x:t>
  </x:si>
  <x:si>
    <x:t xml:space="preserve">SchoolFood checklist nghiệm thu</x:t>
  </x:si>
  <x:si>
    <x:t xml:space="preserve">Người kiểm tra</x:t>
  </x:si>
  <x:si>
    <x:t xml:space="preserve">Task liên quan</x:t>
  </x:si>
  <x:si>
    <x:t xml:space="preserve">Thiết lập và thao tác</x:t>
  </x:si>
  <x:si>
    <x:t xml:space="preserve">Kết quả mong đợi</x:t>
  </x:si>
  <x:si>
    <x:t xml:space="preserve">Kết quả thực tế</x:t>
  </x:si>
  <x:si>
    <x:t xml:space="preserve">Được tính đạt</x:t>
  </x:si>
  <x:si>
    <x:t xml:space="preserve">AC01</x:t>
  </x:si>
  <x:si>
    <x:t xml:space="preserve">SF01–SF06</x:t>
  </x:si>
  <x:si>
    <x:t xml:space="preserve">Mỗi người tự chạy Compose, migrate, hello, test và build.</x:t>
  </x:si>
  <x:si>
    <x:t xml:space="preserve">Đủ 6 bằng chứng và 6 lời giải thích vòng request.</x:t>
  </x:si>
  <x:si>
    <x:t xml:space="preserve">Chưa chạy</x:t>
  </x:si>
  <x:si>
    <x:t xml:space="preserve">AC02</x:t>
  </x:si>
  <x:si>
    <x:t xml:space="preserve">SF08–SF12</x:t>
  </x:si>
  <x:si>
    <x:t xml:space="preserve">Tạo 2 Category rồi xem API và UI, reload trang.</x:t>
  </x:si>
  <x:si>
    <x:t xml:space="preserve">Hai nhóm giống nhau ở DB/API/UI; empty/error state rõ.</x:t>
  </x:si>
  <x:si>
    <x:t xml:space="preserve">AC03</x:t>
  </x:si>
  <x:si>
    <x:t xml:space="preserve">SF14,SF16</x:t>
  </x:si>
  <x:si>
    <x:t xml:space="preserve">Gửi code trùng, name rỗng, category không tồn tại, field quantity tự đặt.</x:t>
  </x:si>
  <x:si>
    <x:t xml:space="preserve">400/409 phù hợp; không tạo hoặc sửa dữ liệu sai.</x:t>
  </x:si>
  <x:si>
    <x:t xml:space="preserve">AC04</x:t>
  </x:si>
  <x:si>
    <x:t xml:space="preserve">SF13,SF16</x:t>
  </x:si>
  <x:si>
    <x:t xml:space="preserve">Thử chưa login, sai password, viewer ghi, POST thiếu CSRF và logout.</x:t>
  </x:si>
  <x:si>
    <x:t xml:space="preserve">401/403 theo contract; request hợp lệ thành công; logout mất quyền.</x:t>
  </x:si>
  <x:si>
    <x:t xml:space="preserve">AC05</x:t>
  </x:si>
  <x:si>
    <x:t xml:space="preserve">SF14–SF17</x:t>
  </x:si>
  <x:si>
    <x:t xml:space="preserve">Tạo/sửa/ngừng dùng Food và Supplier bằng manager.</x:t>
  </x:si>
  <x:si>
    <x:t xml:space="preserve">Reload giữ dữ liệu; viewer chỉ xem; tồn không chỉnh qua form.</x:t>
  </x:si>
  <x:si>
    <x:t xml:space="preserve">AC06</x:t>
  </x:si>
  <x:si>
    <x:t xml:space="preserve">Chạy seed danh mục 2 lần trên local.</x:t>
  </x:si>
  <x:si>
    <x:t xml:space="preserve">Không trùng code; quantity/avg vẫn bằng 0.</x:t>
  </x:si>
  <x:si>
    <x:t xml:space="preserve">AC07</x:t>
  </x:si>
  <x:si>
    <x:t xml:space="preserve">SF19–SF22</x:t>
  </x:si>
  <x:si>
    <x:t xml:space="preserve">Tạo Receipt draft có 2 dòng rồi xem tồn.</x:t>
  </x:si>
  <x:si>
    <x:t xml:space="preserve">Draft có id; quantity và ledger chưa đổi.</x:t>
  </x:si>
  <x:si>
    <x:t xml:space="preserve">AC08</x:t>
  </x:si>
  <x:si>
    <x:t xml:space="preserve">SF20,SF23</x:t>
  </x:si>
  <x:si>
    <x:t xml:space="preserve">Chốt nhập Gạo 50 × 90000 rồi 50 × 110000.</x:t>
  </x:si>
  <x:si>
    <x:t xml:space="preserve">Tồn 100.000 kg; avg 100000.00; hai ledger IN.</x:t>
  </x:si>
  <x:si>
    <x:t xml:space="preserve">AC09</x:t>
  </x:si>
  <x:si>
    <x:t xml:space="preserve">Phiếu 2 dòng, 1 dòng quantity âm hoặc food không active.</x:t>
  </x:si>
  <x:si>
    <x:t xml:space="preserve">Toàn phiếu bị từ chối; tồn, status, ledger đều không đổi.</x:t>
  </x:si>
  <x:si>
    <x:t xml:space="preserve">AC10</x:t>
  </x:si>
  <x:si>
    <x:t xml:space="preserve">SF22,SF23</x:t>
  </x:si>
  <x:si>
    <x:t xml:space="preserve">Chốt cùng receipt_id lần thứ hai.</x:t>
  </x:si>
  <x:si>
    <x:t xml:space="preserve">409; không tăng tồn hoặc ledger lần hai.</x:t>
  </x:si>
  <x:si>
    <x:t xml:space="preserve">AC11</x:t>
  </x:si>
  <x:si>
    <x:t xml:space="preserve">SF26–SF30</x:t>
  </x:si>
  <x:si>
    <x:t xml:space="preserve">Sau AC08, chốt xuất 20 kg.</x:t>
  </x:si>
  <x:si>
    <x:t xml:space="preserve">Tồn 80.000; avg 100000.00; giá trị xuất 2000000.00.</x:t>
  </x:si>
  <x:si>
    <x:t xml:space="preserve">AC12</x:t>
  </x:si>
  <x:si>
    <x:t xml:space="preserve">SF26,SF29</x:t>
  </x:si>
  <x:si>
    <x:t xml:space="preserve">Khi tồn 80, thử xuất 81; thêm case phiếu 2 dòng thiếu 1 dòng.</x:t>
  </x:si>
  <x:si>
    <x:t xml:space="preserve">409; rollback mọi dòng, không âm kho.</x:t>
  </x:si>
  <x:si>
    <x:t xml:space="preserve">AC13</x:t>
  </x:si>
  <x:si>
    <x:t xml:space="preserve">SF28,SF29</x:t>
  </x:si>
  <x:si>
    <x:t xml:space="preserve">Chốt lặp issue_id; thử xuất đúng hết tồn.</x:t>
  </x:si>
  <x:si>
    <x:t xml:space="preserve">Chốt lặp bị từ chối; xuất hết đưa quantity về 0, avg giữ lại.</x:t>
  </x:si>
  <x:si>
    <x:t xml:space="preserve">AC14</x:t>
  </x:si>
  <x:si>
    <x:t xml:space="preserve">Tồn 10, hai kết nối cùng chốt hai phiếu xuất 8.</x:t>
  </x:si>
  <x:si>
    <x:t xml:space="preserve">Một thành công, một lỗi thiếu tồn; cuối còn 2; một ledger OUT.</x:t>
  </x:si>
  <x:si>
    <x:t xml:space="preserve">AC15</x:t>
  </x:si>
  <x:si>
    <x:t xml:space="preserve">SF32,SF35</x:t>
  </x:si>
  <x:si>
    <x:t xml:space="preserve">Sau AC11, mở snapshot 80, đếm 77 và chốt.</x:t>
  </x:si>
  <x:si>
    <x:t xml:space="preserve">Variance -3; tồn 77; ADJUST -3 và variance_value -300000.00.</x:t>
  </x:si>
  <x:si>
    <x:t xml:space="preserve">AC16</x:t>
  </x:si>
  <x:si>
    <x:t xml:space="preserve">Mở kiểm kê rồi nhập/xuất cùng food trước khi chốt.</x:t>
  </x:si>
  <x:si>
    <x:t xml:space="preserve">409 vì version đổi; tồn mới không bị ghi đè.</x:t>
  </x:si>
  <x:si>
    <x:t xml:space="preserve">AC17</x:t>
  </x:si>
  <x:si>
    <x:t xml:space="preserve">Actual 0, rỗng, âm, bằng snapshot và chốt lặp.</x:t>
  </x:si>
  <x:si>
    <x:t xml:space="preserve">0 hợp lệ; rỗng/âm bị chặn; delta 0 không ledger; chốt lặp 409.</x:t>
  </x:si>
  <x:si>
    <x:t xml:space="preserve">AC18</x:t>
  </x:si>
  <x:si>
    <x:t xml:space="preserve">SF33,SF34</x:t>
  </x:si>
  <x:si>
    <x:t xml:space="preserve">Xem tồn và lọc ledger từ bộ mẫu chuẩn.</x:t>
  </x:si>
  <x:si>
    <x:t xml:space="preserve">Tồn 77; avg 100000; value 7700000; IN 50+50, OUT -20, ADJUST -3.</x:t>
  </x:si>
  <x:si>
    <x:t xml:space="preserve">AC19</x:t>
  </x:si>
  <x:si>
    <x:t xml:space="preserve">Dừng/chạy lại Compose không dùng -v.</x:t>
  </x:si>
  <x:si>
    <x:t xml:space="preserve">Dữ liệu và chứng từ còn nguyên; thông báo lỗi mạng dễ hiểu.</x:t>
  </x:si>
  <x:si>
    <x:t xml:space="preserve">AC20</x:t>
  </x:si>
  <x:si>
    <x:t xml:space="preserve">Chạy toàn luồng bằng manager rồi kiểm tra viewer; test/build.</x:t>
  </x:si>
  <x:si>
    <x:t xml:space="preserve">Không dùng mock hoặc sửa DB tay trong luồng; test/build đạt.</x:t>
  </x:si>
  <x:si>
    <x:t xml:space="preserve">AC21</x:t>
  </x:si>
  <x:si>
    <x:t xml:space="preserve">SF39–SF41</x:t>
  </x:si>
  <x:si>
    <x:t xml:space="preserve">Mở domain HTTPS, login, /api và màn hình thật.</x:t>
  </x:si>
  <x:si>
    <x:t xml:space="preserve">Domain đúng, TLS hợp lệ, static/API/quyền hoạt động; chỉ làm khi M6 mở.</x:t>
  </x:si>
  <x:si>
    <x:t xml:space="preserve">AC22</x:t>
  </x:si>
  <x:si>
    <x:t xml:space="preserve">SF38,SF42</x:t>
  </x:si>
  <x:si>
    <x:t xml:space="preserve">Backup/restore vào DB thử và diễn tập rollback app staging.</x:t>
  </x:si>
  <x:si>
    <x:t xml:space="preserve">Dữ liệu phục hồi đúng; có hướng dẫn migration; không reset production.</x:t>
  </x:si>
</x:sst>
</file>

<file path=xl/styles.xml><?xml version="1.0" encoding="utf-8"?>
<x:styleSheet xmlns:x="http://schemas.openxmlformats.org/spreadsheetml/2006/main">
  <x:numFmts count="2">
    <x:numFmt numFmtId="164" formatCode="dd/mm/yyyy"/>
    <x:numFmt numFmtId="200" formatCode="0%"/>
  </x:numFmts>
  <x:fonts count="8">
    <x:font>
      <x:sz val="11"/>
      <x:name val="Carlito"/>
    </x:font>
    <x:font>
      <x:b/>
      <x:sz val="15"/>
      <x:color rgb="FF17212B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b/>
      <x:sz val="10"/>
      <x:name val="Arial"/>
    </x:font>
    <x:font>
      <x:sz val="10"/>
      <x:name val="Arial"/>
    </x:font>
    <x:font>
      <x:b/>
      <x:sz val="14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1F5F8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7344C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Font="1"/>
    <x:xf numFmtId="0" fontId="2" fillId="2" borderId="0" xfId="0" applyFont="1" applyFill="1" applyAlignment="1">
      <x:alignment horizontal="center" vertical="center" wrapText="1"/>
    </x:xf>
    <x:xf numFmtId="0" fontId="3" fillId="0" borderId="0" xfId="0" applyFont="1" applyAlignment="1">
      <x:alignment vertical="center" wrapText="1"/>
    </x:xf>
    <x:xf numFmtId="0" fontId="3" fillId="3" borderId="0" xfId="0" applyFont="1" applyFill="1" applyAlignment="1">
      <x:alignment vertical="center" wrapText="1"/>
    </x:xf>
    <x:xf numFmtId="0" fontId="3" fillId="4" borderId="0" xfId="0" applyFont="1" applyFill="1" applyAlignment="1">
      <x:alignment vertical="center" wrapText="1"/>
    </x:xf>
    <x:xf numFmtId="164" fontId="3" fillId="4" borderId="0" xfId="0" applyNumberFormat="1" applyFont="1" applyFill="1" applyAlignment="1">
      <x:alignment vertical="center" wrapText="1"/>
    </x:xf>
    <x:xf numFmtId="0" fontId="0" fillId="4" borderId="0" xfId="0" applyFill="1"/>
    <x:xf numFmtId="9" fontId="3" fillId="0" borderId="0" xfId="0" applyNumberFormat="1" applyFont="1" applyAlignment="1">
      <x:alignment vertical="center" wrapText="1"/>
    </x:xf>
    <x:xf numFmtId="0" fontId="4" fillId="0" borderId="0" xfId="0" applyFont="1"/>
    <x:xf numFmtId="9" fontId="4" fillId="0" borderId="0" xfId="0" applyNumberFormat="1" applyFont="1"/>
    <x:xf numFmtId="0" fontId="5" fillId="0" borderId="0" xfId="0" applyFont="1"/>
    <x:xf numFmtId="16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164" fontId="0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2e576a7c942a1" /><Relationship Type="http://schemas.openxmlformats.org/officeDocument/2006/relationships/theme" Target="/xl/theme/theme1.xml" Id="R115f3605ec294503" /><Relationship Type="http://schemas.openxmlformats.org/officeDocument/2006/relationships/sharedStrings" Target="/xl/sharedStrings.xml" Id="R5ba6d003a86e4f3b" /><Relationship Type="http://schemas.openxmlformats.org/officeDocument/2006/relationships/worksheet" Target="/xl/worksheets/sheet1.xml" Id="Rc51bc708998d4109" /><Relationship Type="http://schemas.openxmlformats.org/officeDocument/2006/relationships/worksheet" Target="/xl/worksheets/sheet2.xml" Id="R1ba7ceda8e134354" /><Relationship Type="http://schemas.openxmlformats.org/officeDocument/2006/relationships/worksheet" Target="/xl/worksheets/sheet3.xml" Id="R4abb16ce16f64d26" /></Relationships>
</file>

<file path=xl/tables/table1.xml><?xml version="1.0" encoding="utf-8"?>
<x:table xmlns:x="http://schemas.openxmlformats.org/spreadsheetml/2006/main" id="1" name="SchoolFoodTasks" displayName="SchoolFoodTasks" ref="A5:N77" headerRowCount="1" totalsRowCount="0" totalsRowShown="0">
  <x:autoFilter ref="A5:N77"/>
  <x:tableColumns count="14">
    <x:tableColumn id="1" name="Mã"/>
    <x:tableColumn id="2" name="Mốc"/>
    <x:tableColumn id="3" name="Người làm"/>
    <x:tableColumn id="4" name="Reviewer"/>
    <x:tableColumn id="5" name="Công việc"/>
    <x:tableColumn id="6" name="Cần xong trước"/>
    <x:tableColumn id="7" name="Điều kiện đạt"/>
    <x:tableColumn id="8" name="Hạn dự kiến"/>
    <x:tableColumn id="9" name="Trạng thái"/>
    <x:tableColumn id="10" name="Review"/>
    <x:tableColumn id="11" name="Bằng chứng"/>
    <x:tableColumn id="12" name="Trở ngại hoặc bước tiếp"/>
    <x:tableColumn id="13" name="Được tính xong"/>
    <x:tableColumn id="14" name="Có thể bắt đầ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oolFoodAcceptance" displayName="SchoolFoodAcceptance" ref="A5:J52" headerRowCount="1" totalsRowCount="0" totalsRowShown="0">
  <x:autoFilter ref="A5:J52"/>
  <x:tableColumns count="10">
    <x:tableColumn id="1" name="Mã"/>
    <x:tableColumn id="2" name="Mốc"/>
    <x:tableColumn id="3" name="Người kiểm tra"/>
    <x:tableColumn id="4" name="Task liên quan"/>
    <x:tableColumn id="5" name="Thiết lập và thao tác"/>
    <x:tableColumn id="6" name="Kết quả mong đợi"/>
    <x:tableColumn id="7" name="Kết quả thực tế"/>
    <x:tableColumn id="8" name="Trạng thái"/>
    <x:tableColumn id="9" name="Bằng chứng"/>
    <x:tableColumn id="10" name="Được tính đạ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f8e4001b5c4d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aa5272c8f3400a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4.25"/>
  <x:cols>
    <x:col min="1" max="1" width="11" customWidth="1"/>
    <x:col min="2" max="2" width="27" customWidth="1"/>
    <x:col min="3" max="3" width="34" customWidth="1"/>
    <x:col min="4" max="7" width="13" customWidth="1"/>
    <x:col min="8" max="8" width="27" customWidth="1"/>
  </x:cols>
  <x:sheetData>
    <x:row r="2" ht="29.100000381469727" customHeight="1">
      <x:c r="A2" s="1" t="s">
        <x:v>0</x:v>
      </x:c>
    </x:row>
    <x:row r="3">
      <x:c r="A3" t="str">
        <x:v>Điền tên ở cột B. SF01–42 giữ lịch sử; G2 ở bảng dưới. Tiến độ tính theo task đã đủ điều kiện.</x:v>
      </x:c>
    </x:row>
    <x:row r="4">
      <x:c r="A4" t="str">
        <x:v>Hoàn tất cần review đạt, bằng chứng và phụ thuộc. G2.0 chỉ đạt khi đủ năm xác nhận và bằng chứng.</x:v>
      </x:c>
    </x:row>
    <x:row r="5">
      <x:c r="A5" t="s">
        <x:v>1</x:v>
      </x:c>
      <x:c r="B5" s="7" t="s">
        <x:v>2</x:v>
      </x:c>
      <x:c r="C5" t="s">
        <x:v>3</x:v>
      </x:c>
    </x:row>
    <x:row r="7" ht="32.099998474121094" customHeight="1">
      <x:c r="A7" s="2" t="s">
        <x:v>4</x:v>
      </x:c>
      <x:c r="B7" s="2" t="s">
        <x:v>5</x:v>
      </x:c>
      <x:c r="C7" s="2" t="s">
        <x:v>6</x:v>
      </x:c>
      <x:c r="D7" s="2" t="s">
        <x:v>7</x:v>
      </x:c>
      <x:c r="E7" s="2" t="s">
        <x:v>8</x:v>
      </x:c>
      <x:c r="F7" s="2" t="s">
        <x:v>9</x:v>
      </x:c>
      <x:c r="G7" s="2" t="s">
        <x:v>10</x:v>
      </x:c>
      <x:c r="H7" s="2" t="s">
        <x:v>11</x:v>
      </x:c>
    </x:row>
    <x:row r="8" ht="30" customHeight="1">
      <x:c r="A8" s="3" t="s">
        <x:v>12</x:v>
      </x:c>
      <x:c r="B8" s="5"/>
      <x:c r="C8" s="3" t="s">
        <x:v>13</x:v>
      </x:c>
      <x:c r="D8" s="3" t="n">
        <x:f>COUNTIFS('Cong viec'!$C$6:$C$47,A8,'Cong viec'!$B$6:$B$47,"&lt;&gt;M6")</x:f>
        <x:v>6</x:v>
      </x:c>
      <x:c r="E8" s="3" t="n">
        <x:f>SUMIFS('Cong viec'!$M$6:$M$47,'Cong viec'!$C$6:$C$47,A8,'Cong viec'!$B$6:$B$47,"&lt;&gt;M6")</x:f>
        <x:v>0</x:v>
      </x:c>
      <x:c r="F8" s="8" t="n">
        <x:f t="shared" ref="F8:F14" si="0">IF(D8=0,0,E8/D8)</x:f>
        <x:v>0</x:v>
      </x:c>
      <x:c r="G8" s="3" t="n">
        <x:f>COUNTIFS('Cong viec'!$C$6:$C$47,A8,'Cong viec'!$I$6:$I$47,"Đang làm")</x:f>
        <x:v>0</x:v>
      </x:c>
      <x:c r="H8" s="3" t="n">
        <x:f>COUNTIFS('Cong viec'!$C$6:$C$47,A8,'Cong viec'!$I$6:$I$47,"Bị chặn")</x:f>
        <x:v>0</x:v>
      </x:c>
    </x:row>
    <x:row r="9" ht="30" customHeight="1">
      <x:c r="A9" s="3" t="s">
        <x:v>14</x:v>
      </x:c>
      <x:c r="B9" s="5"/>
      <x:c r="C9" s="3" t="s">
        <x:v>15</x:v>
      </x:c>
      <x:c r="D9" s="3" t="n">
        <x:f>COUNTIFS('Cong viec'!$C$6:$C$47,A9,'Cong viec'!$B$6:$B$47,"&lt;&gt;M6")</x:f>
        <x:v>6</x:v>
      </x:c>
      <x:c r="E9" s="3" t="n">
        <x:f>SUMIFS('Cong viec'!$M$6:$M$47,'Cong viec'!$C$6:$C$47,A9,'Cong viec'!$B$6:$B$47,"&lt;&gt;M6")</x:f>
        <x:v>0</x:v>
      </x:c>
      <x:c r="F9" s="8">
        <x:f t="shared" si="0"/>
        <x:v>0</x:v>
      </x:c>
      <x:c r="G9" s="3" t="n">
        <x:f>COUNTIFS('Cong viec'!$C$6:$C$47,A9,'Cong viec'!$I$6:$I$47,"Đang làm")</x:f>
        <x:v>0</x:v>
      </x:c>
      <x:c r="H9" s="3" t="n">
        <x:f>COUNTIFS('Cong viec'!$C$6:$C$47,A9,'Cong viec'!$I$6:$I$47,"Bị chặn")</x:f>
        <x:v>0</x:v>
      </x:c>
    </x:row>
    <x:row r="10" ht="30" customHeight="1">
      <x:c r="A10" s="3" t="s">
        <x:v>16</x:v>
      </x:c>
      <x:c r="B10" s="5"/>
      <x:c r="C10" s="3" t="s">
        <x:v>17</x:v>
      </x:c>
      <x:c r="D10" s="3" t="n">
        <x:f>COUNTIFS('Cong viec'!$C$6:$C$47,A10,'Cong viec'!$B$6:$B$47,"&lt;&gt;M6")</x:f>
        <x:v>6</x:v>
      </x:c>
      <x:c r="E10" s="3" t="n">
        <x:f>SUMIFS('Cong viec'!$M$6:$M$47,'Cong viec'!$C$6:$C$47,A10,'Cong viec'!$B$6:$B$47,"&lt;&gt;M6")</x:f>
        <x:v>0</x:v>
      </x:c>
      <x:c r="F10" s="8">
        <x:f t="shared" si="0"/>
        <x:v>0</x:v>
      </x:c>
      <x:c r="G10" s="3" t="n">
        <x:f>COUNTIFS('Cong viec'!$C$6:$C$47,A10,'Cong viec'!$I$6:$I$47,"Đang làm")</x:f>
        <x:v>0</x:v>
      </x:c>
      <x:c r="H10" s="3" t="n">
        <x:f>COUNTIFS('Cong viec'!$C$6:$C$47,A10,'Cong viec'!$I$6:$I$47,"Bị chặn")</x:f>
        <x:v>0</x:v>
      </x:c>
    </x:row>
    <x:row r="11" ht="30" customHeight="1">
      <x:c r="A11" s="3" t="s">
        <x:v>18</x:v>
      </x:c>
      <x:c r="B11" s="5"/>
      <x:c r="C11" s="3" t="s">
        <x:v>19</x:v>
      </x:c>
      <x:c r="D11" s="3" t="n">
        <x:f>COUNTIFS('Cong viec'!$C$6:$C$47,A11,'Cong viec'!$B$6:$B$47,"&lt;&gt;M6")</x:f>
        <x:v>6</x:v>
      </x:c>
      <x:c r="E11" s="3" t="n">
        <x:f>SUMIFS('Cong viec'!$M$6:$M$47,'Cong viec'!$C$6:$C$47,A11,'Cong viec'!$B$6:$B$47,"&lt;&gt;M6")</x:f>
        <x:v>0</x:v>
      </x:c>
      <x:c r="F11" s="8">
        <x:f t="shared" si="0"/>
        <x:v>0</x:v>
      </x:c>
      <x:c r="G11" s="3" t="n">
        <x:f>COUNTIFS('Cong viec'!$C$6:$C$47,A11,'Cong viec'!$I$6:$I$47,"Đang làm")</x:f>
        <x:v>0</x:v>
      </x:c>
      <x:c r="H11" s="3" t="n">
        <x:f>COUNTIFS('Cong viec'!$C$6:$C$47,A11,'Cong viec'!$I$6:$I$47,"Bị chặn")</x:f>
        <x:v>0</x:v>
      </x:c>
    </x:row>
    <x:row r="12" ht="30" customHeight="1">
      <x:c r="A12" s="3" t="s">
        <x:v>20</x:v>
      </x:c>
      <x:c r="B12" s="5"/>
      <x:c r="C12" s="3" t="s">
        <x:v>21</x:v>
      </x:c>
      <x:c r="D12" s="3" t="n">
        <x:f>COUNTIFS('Cong viec'!$C$6:$C$47,A12,'Cong viec'!$B$6:$B$47,"&lt;&gt;M6")</x:f>
        <x:v>6</x:v>
      </x:c>
      <x:c r="E12" s="3" t="n">
        <x:f>SUMIFS('Cong viec'!$M$6:$M$47,'Cong viec'!$C$6:$C$47,A12,'Cong viec'!$B$6:$B$47,"&lt;&gt;M6")</x:f>
        <x:v>0</x:v>
      </x:c>
      <x:c r="F12" s="8">
        <x:f t="shared" si="0"/>
        <x:v>0</x:v>
      </x:c>
      <x:c r="G12" s="3" t="n">
        <x:f>COUNTIFS('Cong viec'!$C$6:$C$47,A12,'Cong viec'!$I$6:$I$47,"Đang làm")</x:f>
        <x:v>0</x:v>
      </x:c>
      <x:c r="H12" s="3" t="n">
        <x:f>COUNTIFS('Cong viec'!$C$6:$C$47,A12,'Cong viec'!$I$6:$I$47,"Bị chặn")</x:f>
        <x:v>0</x:v>
      </x:c>
    </x:row>
    <x:row r="13" ht="30" customHeight="1">
      <x:c r="A13" s="3" t="s">
        <x:v>22</x:v>
      </x:c>
      <x:c r="B13" s="5"/>
      <x:c r="C13" s="3" t="s">
        <x:v>23</x:v>
      </x:c>
      <x:c r="D13" s="3" t="n">
        <x:f>COUNTIFS('Cong viec'!$C$6:$C$47,A13,'Cong viec'!$B$6:$B$47,"&lt;&gt;M6")</x:f>
        <x:v>6</x:v>
      </x:c>
      <x:c r="E13" s="3" t="n">
        <x:f>SUMIFS('Cong viec'!$M$6:$M$47,'Cong viec'!$C$6:$C$47,A13,'Cong viec'!$B$6:$B$47,"&lt;&gt;M6")</x:f>
        <x:v>0</x:v>
      </x:c>
      <x:c r="F13" s="8">
        <x:f t="shared" si="0"/>
        <x:v>0</x:v>
      </x:c>
      <x:c r="G13" s="3" t="n">
        <x:f>COUNTIFS('Cong viec'!$C$6:$C$47,A13,'Cong viec'!$I$6:$I$47,"Đang làm")</x:f>
        <x:v>0</x:v>
      </x:c>
      <x:c r="H13" s="3" t="n">
        <x:f>COUNTIFS('Cong viec'!$C$6:$C$47,A13,'Cong viec'!$I$6:$I$47,"Bị chặn")</x:f>
        <x:v>0</x:v>
      </x:c>
    </x:row>
    <x:row r="14">
      <x:c r="C14" s="9" t="s">
        <x:v>24</x:v>
      </x:c>
      <x:c r="D14" s="9" t="n">
        <x:f>SUM(D8:D13)</x:f>
        <x:v>36</x:v>
      </x:c>
      <x:c r="E14" s="9" t="n">
        <x:f>SUM(E8:E13)</x:f>
        <x:v>0</x:v>
      </x:c>
      <x:c r="F14" s="10">
        <x:f t="shared" si="0"/>
        <x:v>0</x:v>
      </x:c>
      <x:c r="G14" s="9" t="n">
        <x:f>SUM(G8:G13)</x:f>
        <x:v>0</x:v>
      </x:c>
      <x:c r="H14" s="9" t="n">
        <x:f>SUM(H8:H13)</x:f>
        <x:v>0</x:v>
      </x:c>
    </x:row>
    <x:row r="17" ht="32.099998474121094" customHeight="1">
      <x:c r="A17" s="2" t="s">
        <x:v>25</x:v>
      </x:c>
      <x:c r="B17" s="2" t="s">
        <x:v>26</x:v>
      </x:c>
      <x:c r="C17" s="2" t="s">
        <x:v>27</x:v>
      </x:c>
      <x:c r="D17" s="2" t="s">
        <x:v>8</x:v>
      </x:c>
      <x:c r="E17" s="2" t="s">
        <x:v>28</x:v>
      </x:c>
      <x:c r="F17" s="2" t="s">
        <x:v>29</x:v>
      </x:c>
      <x:c r="G17" s="2" t="s">
        <x:v>30</x:v>
      </x:c>
      <x:c r="H17" s="2" t="s">
        <x:v>31</x:v>
      </x:c>
    </x:row>
    <x:row r="18" ht="30" customHeight="1">
      <x:c r="A18" s="3" t="s">
        <x:v>32</x:v>
      </x:c>
      <x:c r="B18" s="3" t="s">
        <x:v>33</x:v>
      </x:c>
      <x:c r="C18" s="3" t="n">
        <x:f>COUNTIFS('Cong viec'!$B$6:$B$47,A18)</x:f>
        <x:v>6</x:v>
      </x:c>
      <x:c r="D18" s="3" t="n">
        <x:f>SUMIFS('Cong viec'!$M$6:$M$47,'Cong viec'!$B$6:$B$47,A18)</x:f>
        <x:v>0</x:v>
      </x:c>
      <x:c r="E18" s="8" t="n">
        <x:f t="shared" ref="E18:E24" si="1">IF(C18=0,0,D18/C18)</x:f>
        <x:v>0</x:v>
      </x:c>
      <x:c r="F18" s="3" t="n">
        <x:f>SUMIFS('Nghiem thu'!$J$6:$J$27,'Nghiem thu'!$B$6:$B$27,A18)</x:f>
        <x:v>0</x:v>
      </x:c>
      <x:c r="G18" s="3" t="n">
        <x:f>COUNTIFS('Nghiem thu'!$B$6:$B$27,A18)</x:f>
        <x:v>1</x:v>
      </x:c>
      <x:c r="H18" s="3" t="s">
        <x:v>34</x:v>
      </x:c>
    </x:row>
    <x:row r="19" ht="30" customHeight="1">
      <x:c r="A19" s="3" t="s">
        <x:v>35</x:v>
      </x:c>
      <x:c r="B19" s="3" t="s">
        <x:v>36</x:v>
      </x:c>
      <x:c r="C19" s="3" t="n">
        <x:f>COUNTIFS('Cong viec'!$B$6:$B$47,A19)</x:f>
        <x:v>6</x:v>
      </x:c>
      <x:c r="D19" s="3" t="n">
        <x:f>SUMIFS('Cong viec'!$M$6:$M$47,'Cong viec'!$B$6:$B$47,A19)</x:f>
        <x:v>0</x:v>
      </x:c>
      <x:c r="E19" s="8">
        <x:f t="shared" si="1"/>
        <x:v>0</x:v>
      </x:c>
      <x:c r="F19" s="3" t="n">
        <x:f>SUMIFS('Nghiem thu'!$J$6:$J$27,'Nghiem thu'!$B$6:$B$27,A19)</x:f>
        <x:v>0</x:v>
      </x:c>
      <x:c r="G19" s="3" t="n">
        <x:f>COUNTIFS('Nghiem thu'!$B$6:$B$27,A19)</x:f>
        <x:v>1</x:v>
      </x:c>
      <x:c r="H19" s="3" t="s">
        <x:v>34</x:v>
      </x:c>
    </x:row>
    <x:row r="20" ht="30" customHeight="1">
      <x:c r="A20" s="3" t="s">
        <x:v>37</x:v>
      </x:c>
      <x:c r="B20" s="3" t="s">
        <x:v>38</x:v>
      </x:c>
      <x:c r="C20" s="3" t="n">
        <x:f>COUNTIFS('Cong viec'!$B$6:$B$47,A20)</x:f>
        <x:v>6</x:v>
      </x:c>
      <x:c r="D20" s="3" t="n">
        <x:f>SUMIFS('Cong viec'!$M$6:$M$47,'Cong viec'!$B$6:$B$47,A20)</x:f>
        <x:v>0</x:v>
      </x:c>
      <x:c r="E20" s="8">
        <x:f t="shared" si="1"/>
        <x:v>0</x:v>
      </x:c>
      <x:c r="F20" s="3" t="n">
        <x:f>SUMIFS('Nghiem thu'!$J$6:$J$27,'Nghiem thu'!$B$6:$B$27,A20)</x:f>
        <x:v>0</x:v>
      </x:c>
      <x:c r="G20" s="3" t="n">
        <x:f>COUNTIFS('Nghiem thu'!$B$6:$B$27,A20)</x:f>
        <x:v>4</x:v>
      </x:c>
      <x:c r="H20" s="3" t="s">
        <x:v>34</x:v>
      </x:c>
    </x:row>
    <x:row r="21" ht="30" customHeight="1">
      <x:c r="A21" s="3" t="s">
        <x:v>39</x:v>
      </x:c>
      <x:c r="B21" s="3" t="s">
        <x:v>40</x:v>
      </x:c>
      <x:c r="C21" s="3" t="n">
        <x:f>COUNTIFS('Cong viec'!$B$6:$B$47,A21)</x:f>
        <x:v>6</x:v>
      </x:c>
      <x:c r="D21" s="3" t="n">
        <x:f>SUMIFS('Cong viec'!$M$6:$M$47,'Cong viec'!$B$6:$B$47,A21)</x:f>
        <x:v>0</x:v>
      </x:c>
      <x:c r="E21" s="8">
        <x:f t="shared" si="1"/>
        <x:v>0</x:v>
      </x:c>
      <x:c r="F21" s="3" t="n">
        <x:f>SUMIFS('Nghiem thu'!$J$6:$J$27,'Nghiem thu'!$B$6:$B$27,A21)</x:f>
        <x:v>0</x:v>
      </x:c>
      <x:c r="G21" s="3" t="n">
        <x:f>COUNTIFS('Nghiem thu'!$B$6:$B$27,A21)</x:f>
        <x:v>4</x:v>
      </x:c>
      <x:c r="H21" s="3" t="s">
        <x:v>34</x:v>
      </x:c>
    </x:row>
    <x:row r="22" ht="30" customHeight="1">
      <x:c r="A22" s="3" t="s">
        <x:v>41</x:v>
      </x:c>
      <x:c r="B22" s="3" t="s">
        <x:v>42</x:v>
      </x:c>
      <x:c r="C22" s="3" t="n">
        <x:f>COUNTIFS('Cong viec'!$B$6:$B$47,A22)</x:f>
        <x:v>6</x:v>
      </x:c>
      <x:c r="D22" s="3" t="n">
        <x:f>SUMIFS('Cong viec'!$M$6:$M$47,'Cong viec'!$B$6:$B$47,A22)</x:f>
        <x:v>0</x:v>
      </x:c>
      <x:c r="E22" s="8">
        <x:f t="shared" si="1"/>
        <x:v>0</x:v>
      </x:c>
      <x:c r="F22" s="3" t="n">
        <x:f>SUMIFS('Nghiem thu'!$J$6:$J$27,'Nghiem thu'!$B$6:$B$27,A22)</x:f>
        <x:v>0</x:v>
      </x:c>
      <x:c r="G22" s="3" t="n">
        <x:f>COUNTIFS('Nghiem thu'!$B$6:$B$27,A22)</x:f>
        <x:v>4</x:v>
      </x:c>
      <x:c r="H22" s="3" t="s">
        <x:v>34</x:v>
      </x:c>
    </x:row>
    <x:row r="23" ht="30" customHeight="1">
      <x:c r="A23" s="3" t="s">
        <x:v>43</x:v>
      </x:c>
      <x:c r="B23" s="3" t="s">
        <x:v>44</x:v>
      </x:c>
      <x:c r="C23" s="3" t="n">
        <x:f>COUNTIFS('Cong viec'!$B$6:$B$47,A23)</x:f>
        <x:v>6</x:v>
      </x:c>
      <x:c r="D23" s="3" t="n">
        <x:f>SUMIFS('Cong viec'!$M$6:$M$47,'Cong viec'!$B$6:$B$47,A23)</x:f>
        <x:v>0</x:v>
      </x:c>
      <x:c r="E23" s="8">
        <x:f t="shared" si="1"/>
        <x:v>0</x:v>
      </x:c>
      <x:c r="F23" s="3" t="n">
        <x:f>SUMIFS('Nghiem thu'!$J$6:$J$27,'Nghiem thu'!$B$6:$B$27,A23)</x:f>
        <x:v>0</x:v>
      </x:c>
      <x:c r="G23" s="3" t="n">
        <x:f>COUNTIFS('Nghiem thu'!$B$6:$B$27,A23)</x:f>
        <x:v>6</x:v>
      </x:c>
      <x:c r="H23" s="3" t="s">
        <x:v>34</x:v>
      </x:c>
    </x:row>
    <x:row r="24" ht="30" customHeight="1">
      <x:c r="A24" s="3" t="s">
        <x:v>45</x:v>
      </x:c>
      <x:c r="B24" s="3" t="s">
        <x:v>46</x:v>
      </x:c>
      <x:c r="C24" s="3" t="n">
        <x:f>COUNTIFS('Cong viec'!$B$6:$B$47,A24)</x:f>
        <x:v>6</x:v>
      </x:c>
      <x:c r="D24" s="3" t="n">
        <x:f>SUMIFS('Cong viec'!$M$6:$M$47,'Cong viec'!$B$6:$B$47,A24)</x:f>
        <x:v>0</x:v>
      </x:c>
      <x:c r="E24" s="8">
        <x:f t="shared" si="1"/>
        <x:v>0</x:v>
      </x:c>
      <x:c r="F24" s="3" t="n">
        <x:f>SUMIFS('Nghiem thu'!$J$6:$J$27,'Nghiem thu'!$B$6:$B$27,A24)</x:f>
        <x:v>0</x:v>
      </x:c>
      <x:c r="G24" s="3" t="n">
        <x:f>COUNTIFS('Nghiem thu'!$B$6:$B$27,A24)</x:f>
        <x:v>2</x:v>
      </x:c>
      <x:c r="H24" s="3" t="s">
        <x:v>47</x:v>
      </x:c>
    </x:row>
    <x:row r="27" ht="24" customHeight="1">
      <x:c r="A27" s="11" t="str">
        <x:v>Cách dùng: lọc Cong viec theo TV/mốc, đọc thẻ SF trong Markdown, cập nhật sau mỗi buổi.</x:v>
      </x:c>
      <x:c r="B27" s="11"/>
      <x:c r="C27" s="11"/>
      <x:c r="D27" s="11"/>
      <x:c r="E27" s="11"/>
      <x:c r="F27" s="11"/>
      <x:c r="G27" s="11"/>
      <x:c r="H27" s="11"/>
    </x:row>
    <x:row r="28" ht="24" customHeight="1">
      <x:c r="A28" s="11" t="s">
        <x:v>48</x:v>
      </x:c>
      <x:c r="B28" s="11"/>
      <x:c r="C28" s="11"/>
      <x:c r="D28" s="11"/>
      <x:c r="E28" s="11"/>
      <x:c r="F28" s="11"/>
      <x:c r="G28" s="11"/>
      <x:c r="H28" s="11"/>
    </x:row>
    <x:row r="29" ht="24" customHeight="1">
      <x:c r="A29" s="11" t="s">
        <x:v>49</x:v>
      </x:c>
      <x:c r="B29" s="11"/>
      <x:c r="C29" s="11"/>
      <x:c r="D29" s="11"/>
      <x:c r="E29" s="11"/>
      <x:c r="F29" s="11"/>
      <x:c r="G29" s="11"/>
      <x:c r="H29" s="11"/>
    </x:row>
    <x:row r="30" ht="24" customHeight="1">
      <x:c r="A30" s="11" t="str">
        <x:v>Nguồn G2: GiaiDoan2_KeHoach.md; architecture.md; khảo sát code 94c733a ngày 29/09/2026.</x:v>
      </x:c>
      <x:c r="B30" s="11"/>
      <x:c r="C30" s="11"/>
      <x:c r="D30" s="11"/>
      <x:c r="E30" s="11"/>
      <x:c r="F30" s="11"/>
      <x:c r="G30" s="11"/>
      <x:c r="H30" s="11"/>
    </x:row>
    <x:row r="32">
      <x:c r="A32" s="19" t="str">
        <x:v>Giai đoạn 2 — bữa trưa</x:v>
      </x:c>
      <x:c r="B32" s="19"/>
      <x:c r="C32" s="19"/>
      <x:c r="D32" s="19"/>
      <x:c r="E32" s="19"/>
      <x:c r="F32" s="19"/>
      <x:c r="G32" s="19"/>
      <x:c r="H32" s="19"/>
    </x:row>
    <x:row r="34" ht="44" customHeight="1">
      <x:c r="A34" s="15" t="str">
        <x:v>G2.0 nền kho</x:v>
      </x:c>
      <x:c r="B34" s="15" t="str">
        <x:f>IF(AND(COUNTIFS(B52:B56,"Đạt")=5,COUNTA(D52:D56)=5),"Đạt","Chưa đạt")</x:f>
        <x:v>Chưa đạt</x:v>
      </x:c>
      <x:c r="C34" s="15" t="str">
        <x:v>Tự tính từ BASE01–05; TV1 ghi kết quả review và bằng chứng ở bảng dưới.</x:v>
      </x:c>
      <x:c r="D34" s="15"/>
      <x:c r="E34" s="15"/>
      <x:c r="F34" s="15"/>
      <x:c r="G34" s="15"/>
      <x:c r="H34" s="15"/>
    </x:row>
    <x:row r="35" ht="12" customHeight="1">
      <x:c r="A35" s="15"/>
      <x:c r="B35" s="15"/>
      <x:c r="C35" s="15"/>
      <x:c r="D35" s="15"/>
      <x:c r="E35" s="15"/>
      <x:c r="F35" s="15"/>
      <x:c r="G35" s="15"/>
      <x:c r="H35" s="15"/>
    </x:row>
    <x:row r="36" ht="32" customHeight="1">
      <x:c r="A36" s="27" t="str">
        <x:v>Người</x:v>
      </x:c>
      <x:c r="B36" s="27" t="str">
        <x:v>Tên</x:v>
      </x:c>
      <x:c r="C36" s="27" t="str">
        <x:v>Vai trò</x:v>
      </x:c>
      <x:c r="D36" s="27" t="str">
        <x:v>Task G2</x:v>
      </x:c>
      <x:c r="E36" s="27" t="str">
        <x:v>Đã xong</x:v>
      </x:c>
      <x:c r="F36" s="27" t="str">
        <x:v>Tỷ lệ G2</x:v>
      </x:c>
      <x:c r="G36" s="27" t="str">
        <x:v>Đang làm</x:v>
      </x:c>
      <x:c r="H36" s="27" t="str">
        <x:v>Bị chặn</x:v>
      </x:c>
    </x:row>
    <x:row r="37" ht="28" customHeight="1">
      <x:c r="A37" s="15" t="str">
        <x:f>A8</x:f>
        <x:v>TV1</x:v>
      </x:c>
      <x:c r="B37" s="15" t="str">
        <x:f>IF(B8="","",B8)</x:f>
      </x:c>
      <x:c r="C37" s="15" t="str">
        <x:f>C8</x:f>
        <x:v>Leader và tích hợp</x:v>
      </x:c>
      <x:c r="D37" s="15" t="n">
        <x:f>COUNTIFS('Cong viec'!$C$48:$C$77,A37)</x:f>
        <x:v>5</x:v>
      </x:c>
      <x:c r="E37" s="15" t="n">
        <x:f>SUMIFS('Cong viec'!$M$48:$M$77,'Cong viec'!$C$48:$C$77,A37)</x:f>
        <x:v>0</x:v>
      </x:c>
      <x:c r="F37" s="28" t="n">
        <x:f>IF(D37=0,0,E37/D37)</x:f>
        <x:v>0</x:v>
      </x:c>
      <x:c r="G37" s="15" t="n">
        <x:f>COUNTIFS('Cong viec'!$C$48:$C$77,A37,'Cong viec'!$I$48:$I$77,"Đang làm")</x:f>
        <x:v>0</x:v>
      </x:c>
      <x:c r="H37" s="15" t="n">
        <x:f>COUNTIFS('Cong viec'!$C$48:$C$77,A37,'Cong viec'!$I$48:$I$77,"Bị chặn")</x:f>
        <x:v>0</x:v>
      </x:c>
    </x:row>
    <x:row r="38" ht="28" customHeight="1">
      <x:c r="A38" s="15" t="str">
        <x:f>A9</x:f>
        <x:v>TV2</x:v>
      </x:c>
      <x:c r="B38" s="15" t="str">
        <x:f>IF(B9="","",B9)</x:f>
      </x:c>
      <x:c r="C38" s="15" t="str">
        <x:f>C9</x:f>
        <x:v>Dữ liệu và nghiệp vụ backend</x:v>
      </x:c>
      <x:c r="D38" s="15" t="n">
        <x:f>COUNTIFS('Cong viec'!$C$48:$C$77,A38)</x:f>
        <x:v>5</x:v>
      </x:c>
      <x:c r="E38" s="15" t="n">
        <x:f>SUMIFS('Cong viec'!$M$48:$M$77,'Cong viec'!$C$48:$C$77,A38)</x:f>
        <x:v>0</x:v>
      </x:c>
      <x:c r="F38" s="28" t="n">
        <x:f>IF(D38=0,0,E38/D38)</x:f>
        <x:v>0</x:v>
      </x:c>
      <x:c r="G38" s="15" t="n">
        <x:f>COUNTIFS('Cong viec'!$C$48:$C$77,A38,'Cong viec'!$I$48:$I$77,"Đang làm")</x:f>
        <x:v>0</x:v>
      </x:c>
      <x:c r="H38" s="15" t="n">
        <x:f>COUNTIFS('Cong viec'!$C$48:$C$77,A38,'Cong viec'!$I$48:$I$77,"Bị chặn")</x:f>
        <x:v>0</x:v>
      </x:c>
    </x:row>
    <x:row r="39" ht="28" customHeight="1">
      <x:c r="A39" s="15" t="str">
        <x:f>A10</x:f>
        <x:v>TV3</x:v>
      </x:c>
      <x:c r="B39" s="15" t="str">
        <x:f>IF(B10="","",B10)</x:f>
      </x:c>
      <x:c r="C39" s="15" t="str">
        <x:f>C10</x:f>
        <x:v>Giao diện chính</x:v>
      </x:c>
      <x:c r="D39" s="15" t="n">
        <x:f>COUNTIFS('Cong viec'!$C$48:$C$77,A39)</x:f>
        <x:v>5</x:v>
      </x:c>
      <x:c r="E39" s="15" t="n">
        <x:f>SUMIFS('Cong viec'!$M$48:$M$77,'Cong viec'!$C$48:$C$77,A39)</x:f>
        <x:v>0</x:v>
      </x:c>
      <x:c r="F39" s="28" t="n">
        <x:f>IF(D39=0,0,E39/D39)</x:f>
        <x:v>0</x:v>
      </x:c>
      <x:c r="G39" s="15" t="n">
        <x:f>COUNTIFS('Cong viec'!$C$48:$C$77,A39,'Cong viec'!$I$48:$I$77,"Đang làm")</x:f>
        <x:v>0</x:v>
      </x:c>
      <x:c r="H39" s="15" t="n">
        <x:f>COUNTIFS('Cong viec'!$C$48:$C$77,A39,'Cong viec'!$I$48:$I$77,"Bị chặn")</x:f>
        <x:v>0</x:v>
      </x:c>
    </x:row>
    <x:row r="40" ht="28" customHeight="1">
      <x:c r="A40" s="15" t="str">
        <x:f>A11</x:f>
        <x:v>TV4</x:v>
      </x:c>
      <x:c r="B40" s="15" t="str">
        <x:f>IF(B11="","",B11)</x:f>
      </x:c>
      <x:c r="C40" s="15" t="str">
        <x:f>C11</x:f>
        <x:v>API và test backend</x:v>
      </x:c>
      <x:c r="D40" s="15" t="n">
        <x:f>COUNTIFS('Cong viec'!$C$48:$C$77,A40)</x:f>
        <x:v>5</x:v>
      </x:c>
      <x:c r="E40" s="15" t="n">
        <x:f>SUMIFS('Cong viec'!$M$48:$M$77,'Cong viec'!$C$48:$C$77,A40)</x:f>
        <x:v>0</x:v>
      </x:c>
      <x:c r="F40" s="28" t="n">
        <x:f>IF(D40=0,0,E40/D40)</x:f>
        <x:v>0</x:v>
      </x:c>
      <x:c r="G40" s="15" t="n">
        <x:f>COUNTIFS('Cong viec'!$C$48:$C$77,A40,'Cong viec'!$I$48:$I$77,"Đang làm")</x:f>
        <x:v>0</x:v>
      </x:c>
      <x:c r="H40" s="15" t="n">
        <x:f>COUNTIFS('Cong viec'!$C$48:$C$77,A40,'Cong viec'!$I$48:$I$77,"Bị chặn")</x:f>
        <x:v>0</x:v>
      </x:c>
    </x:row>
    <x:row r="41" ht="28" customHeight="1">
      <x:c r="A41" s="15" t="str">
        <x:f>A12</x:f>
        <x:v>TV5</x:v>
      </x:c>
      <x:c r="B41" s="15" t="str">
        <x:f>IF(B12="","",B12)</x:f>
      </x:c>
      <x:c r="C41" s="15" t="str">
        <x:f>C12</x:f>
        <x:v>Giao diện và kiểm thử</x:v>
      </x:c>
      <x:c r="D41" s="15" t="n">
        <x:f>COUNTIFS('Cong viec'!$C$48:$C$77,A41)</x:f>
        <x:v>5</x:v>
      </x:c>
      <x:c r="E41" s="15" t="n">
        <x:f>SUMIFS('Cong viec'!$M$48:$M$77,'Cong viec'!$C$48:$C$77,A41)</x:f>
        <x:v>0</x:v>
      </x:c>
      <x:c r="F41" s="28" t="n">
        <x:f>IF(D41=0,0,E41/D41)</x:f>
        <x:v>0</x:v>
      </x:c>
      <x:c r="G41" s="15" t="n">
        <x:f>COUNTIFS('Cong viec'!$C$48:$C$77,A41,'Cong viec'!$I$48:$I$77,"Đang làm")</x:f>
        <x:v>0</x:v>
      </x:c>
      <x:c r="H41" s="15" t="n">
        <x:f>COUNTIFS('Cong viec'!$C$48:$C$77,A41,'Cong viec'!$I$48:$I$77,"Bị chặn")</x:f>
        <x:v>0</x:v>
      </x:c>
    </x:row>
    <x:row r="42" ht="28" customHeight="1">
      <x:c r="A42" s="15" t="str">
        <x:f>A13</x:f>
        <x:v>TV6</x:v>
      </x:c>
      <x:c r="B42" s="15" t="str">
        <x:f>IF(B13="","",B13)</x:f>
      </x:c>
      <x:c r="C42" s="15" t="str">
        <x:f>C13</x:f>
        <x:v>QA và hỗ trợ tích hợp</x:v>
      </x:c>
      <x:c r="D42" s="15" t="n">
        <x:f>COUNTIFS('Cong viec'!$C$48:$C$77,A42)</x:f>
        <x:v>5</x:v>
      </x:c>
      <x:c r="E42" s="15" t="n">
        <x:f>SUMIFS('Cong viec'!$M$48:$M$77,'Cong viec'!$C$48:$C$77,A42)</x:f>
        <x:v>0</x:v>
      </x:c>
      <x:c r="F42" s="28" t="n">
        <x:f>IF(D42=0,0,E42/D42)</x:f>
        <x:v>0</x:v>
      </x:c>
      <x:c r="G42" s="15" t="n">
        <x:f>COUNTIFS('Cong viec'!$C$48:$C$77,A42,'Cong viec'!$I$48:$I$77,"Đang làm")</x:f>
        <x:v>0</x:v>
      </x:c>
      <x:c r="H42" s="15" t="n">
        <x:f>COUNTIFS('Cong viec'!$C$48:$C$77,A42,'Cong viec'!$I$48:$I$77,"Bị chặn")</x:f>
        <x:v>0</x:v>
      </x:c>
    </x:row>
    <x:row r="43" ht="12" customHeight="1">
      <x:c r="A43" s="15"/>
      <x:c r="B43" s="15"/>
      <x:c r="C43" s="15"/>
      <x:c r="D43" s="15"/>
      <x:c r="E43" s="15"/>
      <x:c r="F43" s="15"/>
      <x:c r="G43" s="15"/>
      <x:c r="H43" s="15"/>
    </x:row>
    <x:row r="44" ht="32" customHeight="1">
      <x:c r="A44" s="27" t="str">
        <x:v>Mốc</x:v>
      </x:c>
      <x:c r="B44" s="27" t="str">
        <x:v>Tên mốc</x:v>
      </x:c>
      <x:c r="C44" s="27" t="str">
        <x:v>Task</x:v>
      </x:c>
      <x:c r="D44" s="27" t="str">
        <x:v>Đã xong</x:v>
      </x:c>
      <x:c r="E44" s="27" t="str">
        <x:v>Tỷ lệ</x:v>
      </x:c>
      <x:c r="F44" s="27" t="str">
        <x:v>Case đạt</x:v>
      </x:c>
      <x:c r="G44" s="27" t="str">
        <x:v>Số case</x:v>
      </x:c>
      <x:c r="H44" s="27" t="str">
        <x:v>Điều kiện</x:v>
      </x:c>
    </x:row>
    <x:row r="45" ht="28" customHeight="1">
      <x:c r="A45" s="15" t="str">
        <x:v>G2.1</x:v>
      </x:c>
      <x:c r="B45" s="15" t="str">
        <x:v>Lớp và số suất</x:v>
      </x:c>
      <x:c r="C45" s="15" t="n">
        <x:f>COUNTIFS('Cong viec'!$B$48:$B$77,A45)</x:f>
        <x:v>6</x:v>
      </x:c>
      <x:c r="D45" s="15" t="n">
        <x:f>SUMIFS('Cong viec'!$M$48:$M$77,'Cong viec'!$B$48:$B$77,A45)</x:f>
        <x:v>0</x:v>
      </x:c>
      <x:c r="E45" s="28" t="n">
        <x:f>IF(C45=0,0,D45/C45)</x:f>
        <x:v>0</x:v>
      </x:c>
      <x:c r="F45" s="15" t="n">
        <x:f>SUMIFS('Nghiem thu'!$J$28:$J$52,'Nghiem thu'!$B$28:$B$52,A45)</x:f>
        <x:v>0</x:v>
      </x:c>
      <x:c r="G45" s="15" t="n">
        <x:f>COUNTIFS('Nghiem thu'!$B$28:$B$52,A45)</x:f>
        <x:v>5</x:v>
      </x:c>
      <x:c r="H45" s="15" t="str">
        <x:v>Kế hoạch đã duyệt</x:v>
      </x:c>
    </x:row>
    <x:row r="46" ht="28" customHeight="1">
      <x:c r="A46" s="15" t="str">
        <x:v>G2.2</x:v>
      </x:c>
      <x:c r="B46" s="15" t="str">
        <x:v>Món và thực đơn</x:v>
      </x:c>
      <x:c r="C46" s="15" t="n">
        <x:f>COUNTIFS('Cong viec'!$B$48:$B$77,A46)</x:f>
        <x:v>6</x:v>
      </x:c>
      <x:c r="D46" s="15" t="n">
        <x:f>SUMIFS('Cong viec'!$M$48:$M$77,'Cong viec'!$B$48:$B$77,A46)</x:f>
        <x:v>0</x:v>
      </x:c>
      <x:c r="E46" s="28" t="n">
        <x:f>IF(C46=0,0,D46/C46)</x:f>
        <x:v>0</x:v>
      </x:c>
      <x:c r="F46" s="15" t="n">
        <x:f>SUMIFS('Nghiem thu'!$J$28:$J$52,'Nghiem thu'!$B$28:$B$52,A46)</x:f>
        <x:v>0</x:v>
      </x:c>
      <x:c r="G46" s="15" t="n">
        <x:f>COUNTIFS('Nghiem thu'!$B$28:$B$52,A46)</x:f>
        <x:v>5</x:v>
      </x:c>
      <x:c r="H46" s="15" t="str">
        <x:v>Mốc trước đạt</x:v>
      </x:c>
    </x:row>
    <x:row r="47" ht="28" customHeight="1">
      <x:c r="A47" s="15" t="str">
        <x:v>G2.3</x:v>
      </x:c>
      <x:c r="B47" s="15" t="str">
        <x:v>Nhu cầu và phân bổ</x:v>
      </x:c>
      <x:c r="C47" s="15" t="n">
        <x:f>COUNTIFS('Cong viec'!$B$48:$B$77,A47)</x:f>
        <x:v>6</x:v>
      </x:c>
      <x:c r="D47" s="15" t="n">
        <x:f>SUMIFS('Cong viec'!$M$48:$M$77,'Cong viec'!$B$48:$B$77,A47)</x:f>
        <x:v>0</x:v>
      </x:c>
      <x:c r="E47" s="28" t="n">
        <x:f>IF(C47=0,0,D47/C47)</x:f>
        <x:v>0</x:v>
      </x:c>
      <x:c r="F47" s="15" t="n">
        <x:f>SUMIFS('Nghiem thu'!$J$28:$J$52,'Nghiem thu'!$B$28:$B$52,A47)</x:f>
        <x:v>0</x:v>
      </x:c>
      <x:c r="G47" s="15" t="n">
        <x:f>COUNTIFS('Nghiem thu'!$B$28:$B$52,A47)</x:f>
        <x:v>5</x:v>
      </x:c>
      <x:c r="H47" s="15" t="str">
        <x:v>Cần G2.0 + mốc trước đạt</x:v>
      </x:c>
    </x:row>
    <x:row r="48" ht="28" customHeight="1">
      <x:c r="A48" s="15" t="str">
        <x:v>G2.4</x:v>
      </x:c>
      <x:c r="B48" s="15" t="str">
        <x:v>Đặt và nhận hàng</x:v>
      </x:c>
      <x:c r="C48" s="15" t="n">
        <x:f>COUNTIFS('Cong viec'!$B$48:$B$77,A48)</x:f>
        <x:v>6</x:v>
      </x:c>
      <x:c r="D48" s="15" t="n">
        <x:f>SUMIFS('Cong viec'!$M$48:$M$77,'Cong viec'!$B$48:$B$77,A48)</x:f>
        <x:v>0</x:v>
      </x:c>
      <x:c r="E48" s="28" t="n">
        <x:f>IF(C48=0,0,D48/C48)</x:f>
        <x:v>0</x:v>
      </x:c>
      <x:c r="F48" s="15" t="n">
        <x:f>SUMIFS('Nghiem thu'!$J$28:$J$52,'Nghiem thu'!$B$28:$B$52,A48)</x:f>
        <x:v>0</x:v>
      </x:c>
      <x:c r="G48" s="15" t="n">
        <x:f>COUNTIFS('Nghiem thu'!$B$28:$B$52,A48)</x:f>
        <x:v>5</x:v>
      </x:c>
      <x:c r="H48" s="15" t="str">
        <x:v>Cần G2.0 + mốc trước đạt</x:v>
      </x:c>
    </x:row>
    <x:row r="49" ht="28" customHeight="1">
      <x:c r="A49" s="15" t="str">
        <x:v>G2.5</x:v>
      </x:c>
      <x:c r="B49" s="15" t="str">
        <x:v>Xuất và đối chiếu</x:v>
      </x:c>
      <x:c r="C49" s="15" t="n">
        <x:f>COUNTIFS('Cong viec'!$B$48:$B$77,A49)</x:f>
        <x:v>6</x:v>
      </x:c>
      <x:c r="D49" s="15" t="n">
        <x:f>SUMIFS('Cong viec'!$M$48:$M$77,'Cong viec'!$B$48:$B$77,A49)</x:f>
        <x:v>0</x:v>
      </x:c>
      <x:c r="E49" s="28" t="n">
        <x:f>IF(C49=0,0,D49/C49)</x:f>
        <x:v>0</x:v>
      </x:c>
      <x:c r="F49" s="15" t="n">
        <x:f>SUMIFS('Nghiem thu'!$J$28:$J$52,'Nghiem thu'!$B$28:$B$52,A49)</x:f>
        <x:v>0</x:v>
      </x:c>
      <x:c r="G49" s="15" t="n">
        <x:f>COUNTIFS('Nghiem thu'!$B$28:$B$52,A49)</x:f>
        <x:v>5</x:v>
      </x:c>
      <x:c r="H49" s="15" t="str">
        <x:v>Cần G2.0 + mốc trước đạt</x:v>
      </x:c>
    </x:row>
    <x:row r="50" ht="12" customHeight="1">
      <x:c r="A50" s="15"/>
      <x:c r="B50" s="15"/>
      <x:c r="C50" s="15"/>
      <x:c r="D50" s="15"/>
      <x:c r="E50" s="15"/>
      <x:c r="F50" s="15"/>
      <x:c r="G50" s="15"/>
      <x:c r="H50" s="15"/>
    </x:row>
    <x:row r="51" ht="28" customHeight="1">
      <x:c r="A51" s="27" t="str">
        <x:v>Điều kiện nền</x:v>
      </x:c>
      <x:c r="B51" s="27" t="str">
        <x:v>Review TV1</x:v>
      </x:c>
      <x:c r="C51" s="27" t="str">
        <x:v>Nội dung</x:v>
      </x:c>
      <x:c r="D51" s="27" t="str">
        <x:v>Bằng chứng</x:v>
      </x:c>
      <x:c r="E51" s="27" t="str"/>
      <x:c r="F51" s="27" t="str"/>
      <x:c r="G51" s="27" t="str"/>
      <x:c r="H51" s="27" t="str"/>
    </x:row>
    <x:row r="52" ht="28" customHeight="1">
      <x:c r="A52" s="15" t="str">
        <x:v>BASE01</x:v>
      </x:c>
      <x:c r="B52" s="17" t="str">
        <x:v>Chưa</x:v>
      </x:c>
      <x:c r="C52" s="15" t="str">
        <x:v>Ledger chung</x:v>
      </x:c>
      <x:c r="D52" s="17"/>
      <x:c r="E52" s="17"/>
      <x:c r="F52" s="17"/>
      <x:c r="G52" s="17"/>
      <x:c r="H52" s="17"/>
    </x:row>
    <x:row r="53" ht="28" customHeight="1">
      <x:c r="A53" s="15" t="str">
        <x:v>BASE02</x:v>
      </x:c>
      <x:c r="B53" s="17" t="str">
        <x:v>Chưa</x:v>
      </x:c>
      <x:c r="C53" s="15" t="str">
        <x:v>Nhập hoàn chỉnh</x:v>
      </x:c>
      <x:c r="D53" s="17"/>
      <x:c r="E53" s="17"/>
      <x:c r="F53" s="17"/>
      <x:c r="G53" s="17"/>
      <x:c r="H53" s="17"/>
    </x:row>
    <x:row r="54" ht="28" customHeight="1">
      <x:c r="A54" s="15" t="str">
        <x:v>BASE03</x:v>
      </x:c>
      <x:c r="B54" s="17" t="str">
        <x:v>Chưa</x:v>
      </x:c>
      <x:c r="C54" s="15" t="str">
        <x:v>Xuất hoàn chỉnh</x:v>
      </x:c>
      <x:c r="D54" s="17"/>
      <x:c r="E54" s="17"/>
      <x:c r="F54" s="17"/>
      <x:c r="G54" s="17"/>
      <x:c r="H54" s="17"/>
    </x:row>
    <x:row r="55" ht="28" customHeight="1">
      <x:c r="A55" s="15" t="str">
        <x:v>BASE04</x:v>
      </x:c>
      <x:c r="B55" s="17" t="str">
        <x:v>Chưa</x:v>
      </x:c>
      <x:c r="C55" s="15" t="str">
        <x:v>Kiểm kê/báo cáo</x:v>
      </x:c>
      <x:c r="D55" s="17"/>
      <x:c r="E55" s="17"/>
      <x:c r="F55" s="17"/>
      <x:c r="G55" s="17"/>
      <x:c r="H55" s="17"/>
    </x:row>
    <x:row r="56" ht="28" customHeight="1">
      <x:c r="A56" s="15" t="str">
        <x:v>BASE05</x:v>
      </x:c>
      <x:c r="B56" s="17" t="str">
        <x:v>Chưa</x:v>
      </x:c>
      <x:c r="C56" s="15" t="str">
        <x:v>DB test và QA nền</x:v>
      </x:c>
      <x:c r="D56" s="17"/>
      <x:c r="E56" s="17"/>
      <x:c r="F56" s="17"/>
      <x:c r="G56" s="17"/>
      <x:c r="H56" s="17"/>
    </x:row>
    <x:row r="57">
      <x:c r="A57" t="str">
        <x:v>G2.0 là điều kiện của kế hoạch, không phải kết quả kiểm toán. Bảng này giữ nguyên dữ liệu SF01–42.</x:v>
      </x:c>
    </x:row>
  </x:sheetData>
  <x:mergeCells>
    <x:mergeCell ref="D52:H52"/>
    <x:mergeCell ref="D53:H53"/>
    <x:mergeCell ref="D54:H54"/>
    <x:mergeCell ref="D55:H55"/>
    <x:mergeCell ref="D56:H56"/>
  </x:mergeCells>
  <x:dataValidations count="2">
    <x:dataValidation type="list" sqref="B5">
      <x:formula1>"Chưa mở,Đã mở"</x:formula1>
    </x:dataValidation>
    <x:dataValidation type="list" sqref="B52:B56">
      <x:formula1>"Chưa,Cần sửa,Đạt"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4.25"/>
  <x:cols>
    <x:col min="1" max="1" width="9" customWidth="1"/>
    <x:col min="2" max="2" width="8" customWidth="1"/>
    <x:col min="3" max="4" width="10" customWidth="1"/>
    <x:col min="5" max="5" width="35" customWidth="1"/>
    <x:col min="6" max="6" width="24" customWidth="1"/>
    <x:col min="7" max="7" width="45" customWidth="1"/>
    <x:col min="8" max="8" width="13" customWidth="1"/>
    <x:col min="9" max="9" width="14" customWidth="1"/>
    <x:col min="10" max="10" width="12" customWidth="1"/>
    <x:col min="11" max="11" width="25" customWidth="1"/>
    <x:col min="12" max="12" width="26" customWidth="1"/>
    <x:col min="13" max="13" width="12" customWidth="1"/>
    <x:col min="14" max="14" width="20" customWidth="1"/>
  </x:cols>
  <x:sheetData>
    <x:row r="2" ht="29.100000381469727" customHeight="1">
      <x:c r="A2" s="1" t="str">
        <x:v>SchoolFood công việc SF01–SF72</x:v>
      </x:c>
    </x:row>
    <x:row r="3">
      <x:c r="A3" t="str">
        <x:v>Lọc theo mốc hoặc người làm. Ô vàng nhập tay; M/N tính điều kiện. Thẻ task nằm trong Markdown.</x:v>
      </x:c>
    </x:row>
    <x:row r="4">
      <x:c r="A4" t="str">
        <x:v>29/09/2026: thêm SF43–SF72, chưa nghiệm thu. G2.0 kiểm tra tại Team; giữ nguyên trạng thái SF cũ.</x:v>
      </x:c>
    </x:row>
    <x:row r="5" ht="32.099998474121094" customHeight="1">
      <x:c r="A5" s="2" t="s">
        <x:v>4</x:v>
      </x:c>
      <x:c r="B5" s="2" t="s">
        <x:v>25</x:v>
      </x:c>
      <x:c r="C5" s="2" t="s">
        <x:v>50</x:v>
      </x:c>
      <x:c r="D5" s="2" t="s">
        <x:v>51</x:v>
      </x:c>
      <x:c r="E5" s="2" t="s">
        <x:v>52</x:v>
      </x:c>
      <x:c r="F5" s="2" t="s">
        <x:v>53</x:v>
      </x:c>
      <x:c r="G5" s="2" t="s">
        <x:v>54</x:v>
      </x:c>
      <x:c r="H5" s="2" t="s">
        <x:v>55</x:v>
      </x:c>
      <x:c r="I5" s="2" t="s">
        <x:v>56</x:v>
      </x:c>
      <x:c r="J5" s="2" t="s">
        <x:v>57</x:v>
      </x:c>
      <x:c r="K5" s="2" t="s">
        <x:v>58</x:v>
      </x:c>
      <x:c r="L5" s="2" t="s">
        <x:v>59</x:v>
      </x:c>
      <x:c r="M5" s="2" t="s">
        <x:v>60</x:v>
      </x:c>
      <x:c r="N5" s="2" t="s">
        <x:v>61</x:v>
      </x:c>
    </x:row>
    <x:row r="6" ht="15" customHeight="1">
      <x:c r="A6" s="4" t="s">
        <x:v>62</x:v>
      </x:c>
      <x:c r="B6" s="4" t="s">
        <x:v>32</x:v>
      </x:c>
      <x:c r="C6" s="5" t="s">
        <x:v>12</x:v>
      </x:c>
      <x:c r="D6" s="5" t="s">
        <x:v>22</x:v>
      </x:c>
      <x:c r="E6" s="4" t="s">
        <x:v>63</x:v>
      </x:c>
      <x:c r="F6" s="4" t="s">
        <x:v>64</x:v>
      </x:c>
      <x:c r="G6" s="4" t="s">
        <x:v>65</x:v>
      </x:c>
      <x:c r="H6" s="6"/>
      <x:c r="I6" s="5" t="s">
        <x:v>66</x:v>
      </x:c>
      <x:c r="J6" s="5" t="s">
        <x:v>67</x:v>
      </x:c>
      <x:c r="K6" s="5"/>
      <x:c r="L6" s="5"/>
      <x:c r="M6" s="4" t="n">
        <x:f t="shared" ref="M6:M47" si="0">IF(AND(I6="Hoàn tất",J6="Đạt",K6&lt;&gt;"",C6&lt;&gt;D6),1,0)</x:f>
        <x:v>0</x:v>
      </x:c>
      <x:c r="N6" s="4" t="str">
        <x:f t="shared" ref="N6:N11" si="1">IF(M6=1,"Xong","Có thể bắt đầu")</x:f>
        <x:v>Có thể bắt đầu</x:v>
      </x:c>
    </x:row>
    <x:row r="7" ht="24" customHeight="1">
      <x:c r="A7" s="3" t="s">
        <x:v>68</x:v>
      </x:c>
      <x:c r="B7" s="3" t="s">
        <x:v>32</x:v>
      </x:c>
      <x:c r="C7" s="5" t="s">
        <x:v>14</x:v>
      </x:c>
      <x:c r="D7" s="5" t="s">
        <x:v>18</x:v>
      </x:c>
      <x:c r="E7" s="3" t="s">
        <x:v>69</x:v>
      </x:c>
      <x:c r="F7" s="3" t="s">
        <x:v>64</x:v>
      </x:c>
      <x:c r="G7" s="3" t="s">
        <x:v>70</x:v>
      </x:c>
      <x:c r="H7" s="6"/>
      <x:c r="I7" s="5" t="s">
        <x:v>66</x:v>
      </x:c>
      <x:c r="J7" s="5" t="s">
        <x:v>67</x:v>
      </x:c>
      <x:c r="K7" s="5"/>
      <x:c r="L7" s="5"/>
      <x:c r="M7" s="3">
        <x:f t="shared" si="0"/>
        <x:v>0</x:v>
      </x:c>
      <x:c r="N7" s="3" t="str">
        <x:f t="shared" si="1"/>
        <x:v>Có thể bắt đầu</x:v>
      </x:c>
    </x:row>
    <x:row r="8" ht="24" customHeight="1">
      <x:c r="A8" s="4" t="s">
        <x:v>71</x:v>
      </x:c>
      <x:c r="B8" s="4" t="s">
        <x:v>32</x:v>
      </x:c>
      <x:c r="C8" s="5" t="s">
        <x:v>16</x:v>
      </x:c>
      <x:c r="D8" s="5" t="s">
        <x:v>20</x:v>
      </x:c>
      <x:c r="E8" s="4" t="s">
        <x:v>72</x:v>
      </x:c>
      <x:c r="F8" s="4" t="s">
        <x:v>64</x:v>
      </x:c>
      <x:c r="G8" s="4" t="s">
        <x:v>73</x:v>
      </x:c>
      <x:c r="H8" s="6"/>
      <x:c r="I8" s="5" t="s">
        <x:v>66</x:v>
      </x:c>
      <x:c r="J8" s="5" t="s">
        <x:v>67</x:v>
      </x:c>
      <x:c r="K8" s="5"/>
      <x:c r="L8" s="5"/>
      <x:c r="M8" s="4">
        <x:f t="shared" si="0"/>
        <x:v>0</x:v>
      </x:c>
      <x:c r="N8" s="4" t="str">
        <x:f t="shared" si="1"/>
        <x:v>Có thể bắt đầu</x:v>
      </x:c>
    </x:row>
    <x:row r="9" ht="15" customHeight="1">
      <x:c r="A9" s="3" t="s">
        <x:v>74</x:v>
      </x:c>
      <x:c r="B9" s="3" t="s">
        <x:v>32</x:v>
      </x:c>
      <x:c r="C9" s="5" t="s">
        <x:v>18</x:v>
      </x:c>
      <x:c r="D9" s="5" t="s">
        <x:v>14</x:v>
      </x:c>
      <x:c r="E9" s="3" t="s">
        <x:v>75</x:v>
      </x:c>
      <x:c r="F9" s="3" t="s">
        <x:v>64</x:v>
      </x:c>
      <x:c r="G9" s="3" t="s">
        <x:v>76</x:v>
      </x:c>
      <x:c r="H9" s="6"/>
      <x:c r="I9" s="5" t="s">
        <x:v>66</x:v>
      </x:c>
      <x:c r="J9" s="5" t="s">
        <x:v>67</x:v>
      </x:c>
      <x:c r="K9" s="5"/>
      <x:c r="L9" s="5"/>
      <x:c r="M9" s="3">
        <x:f t="shared" si="0"/>
        <x:v>0</x:v>
      </x:c>
      <x:c r="N9" s="3" t="str">
        <x:f t="shared" si="1"/>
        <x:v>Có thể bắt đầu</x:v>
      </x:c>
    </x:row>
    <x:row r="10" ht="24" customHeight="1">
      <x:c r="A10" s="4" t="s">
        <x:v>77</x:v>
      </x:c>
      <x:c r="B10" s="4" t="s">
        <x:v>32</x:v>
      </x:c>
      <x:c r="C10" s="5" t="s">
        <x:v>20</x:v>
      </x:c>
      <x:c r="D10" s="5" t="s">
        <x:v>16</x:v>
      </x:c>
      <x:c r="E10" s="4" t="s">
        <x:v>78</x:v>
      </x:c>
      <x:c r="F10" s="4" t="s">
        <x:v>64</x:v>
      </x:c>
      <x:c r="G10" s="4" t="s">
        <x:v>79</x:v>
      </x:c>
      <x:c r="H10" s="6"/>
      <x:c r="I10" s="5" t="s">
        <x:v>66</x:v>
      </x:c>
      <x:c r="J10" s="5" t="s">
        <x:v>67</x:v>
      </x:c>
      <x:c r="K10" s="5"/>
      <x:c r="L10" s="5"/>
      <x:c r="M10" s="4">
        <x:f t="shared" si="0"/>
        <x:v>0</x:v>
      </x:c>
      <x:c r="N10" s="4" t="str">
        <x:f t="shared" si="1"/>
        <x:v>Có thể bắt đầu</x:v>
      </x:c>
    </x:row>
    <x:row r="11" ht="24" customHeight="1">
      <x:c r="A11" s="3" t="s">
        <x:v>80</x:v>
      </x:c>
      <x:c r="B11" s="3" t="s">
        <x:v>32</x:v>
      </x:c>
      <x:c r="C11" s="5" t="s">
        <x:v>22</x:v>
      </x:c>
      <x:c r="D11" s="5" t="s">
        <x:v>12</x:v>
      </x:c>
      <x:c r="E11" s="3" t="s">
        <x:v>81</x:v>
      </x:c>
      <x:c r="F11" s="3" t="s">
        <x:v>64</x:v>
      </x:c>
      <x:c r="G11" s="3" t="s">
        <x:v>82</x:v>
      </x:c>
      <x:c r="H11" s="6"/>
      <x:c r="I11" s="5" t="s">
        <x:v>66</x:v>
      </x:c>
      <x:c r="J11" s="5" t="s">
        <x:v>67</x:v>
      </x:c>
      <x:c r="K11" s="5"/>
      <x:c r="L11" s="5"/>
      <x:c r="M11" s="3">
        <x:f t="shared" si="0"/>
        <x:v>0</x:v>
      </x:c>
      <x:c r="N11" s="3" t="str">
        <x:f t="shared" si="1"/>
        <x:v>Có thể bắt đầu</x:v>
      </x:c>
    </x:row>
    <x:row r="12" ht="24" customHeight="1">
      <x:c r="A12" s="4" t="s">
        <x:v>83</x:v>
      </x:c>
      <x:c r="B12" s="4" t="s">
        <x:v>35</x:v>
      </x:c>
      <x:c r="C12" s="5" t="s">
        <x:v>12</x:v>
      </x:c>
      <x:c r="D12" s="5" t="s">
        <x:v>22</x:v>
      </x:c>
      <x:c r="E12" s="4" t="s">
        <x:v>84</x:v>
      </x:c>
      <x:c r="F12" s="4" t="s">
        <x:v>85</x:v>
      </x:c>
      <x:c r="G12" s="4" t="s">
        <x:v>86</x:v>
      </x:c>
      <x:c r="H12" s="6"/>
      <x:c r="I12" s="5" t="s">
        <x:v>2</x:v>
      </x:c>
      <x:c r="J12" s="5" t="s">
        <x:v>67</x:v>
      </x:c>
      <x:c r="K12" s="5"/>
      <x:c r="L12" s="5"/>
      <x:c r="M12" s="4">
        <x:f t="shared" si="0"/>
        <x:v>0</x:v>
      </x:c>
      <x:c r="N12" s="4" t="str">
        <x:f>IF(M12=1,"Xong",IF(AND(SUMIFS($M$6:$M$47,$A$6:$A$47,"SF01")=1,SUMIFS($M$6:$M$47,$A$6:$A$47,"SF02")=1,SUMIFS($M$6:$M$47,$A$6:$A$47,"SF03")=1,SUMIFS($M$6:$M$47,$A$6:$A$47,"SF04")=1,SUMIFS($M$6:$M$47,$A$6:$A$47,"SF05")=1,SUMIFS($M$6:$M$47,$A$6:$A$47,"SF06")=1),"Có thể bắt đầu","Chờ task trước"))</x:f>
        <x:v>Chờ task trước</x:v>
      </x:c>
    </x:row>
    <x:row r="13" ht="24" customHeight="1">
      <x:c r="A13" s="3" t="s">
        <x:v>87</x:v>
      </x:c>
      <x:c r="B13" s="3" t="s">
        <x:v>35</x:v>
      </x:c>
      <x:c r="C13" s="5" t="s">
        <x:v>14</x:v>
      </x:c>
      <x:c r="D13" s="5" t="s">
        <x:v>18</x:v>
      </x:c>
      <x:c r="E13" s="3" t="s">
        <x:v>88</x:v>
      </x:c>
      <x:c r="F13" s="3" t="s">
        <x:v>83</x:v>
      </x:c>
      <x:c r="G13" s="3" t="s">
        <x:v>89</x:v>
      </x:c>
      <x:c r="H13" s="6"/>
      <x:c r="I13" s="5" t="s">
        <x:v>2</x:v>
      </x:c>
      <x:c r="J13" s="5" t="s">
        <x:v>67</x:v>
      </x:c>
      <x:c r="K13" s="5"/>
      <x:c r="L13" s="5"/>
      <x:c r="M13" s="3">
        <x:f t="shared" si="0"/>
        <x:v>0</x:v>
      </x:c>
      <x:c r="N13" s="3" t="str">
        <x:f>IF(M13=1,"Xong",IF(AND(SUMIFS($M$6:$M$47,$A$6:$A$47,"SF07")=1),"Có thể bắt đầu","Chờ task trước"))</x:f>
        <x:v>Chờ task trước</x:v>
      </x:c>
    </x:row>
    <x:row r="14" ht="24" customHeight="1">
      <x:c r="A14" s="4" t="s">
        <x:v>90</x:v>
      </x:c>
      <x:c r="B14" s="4" t="s">
        <x:v>35</x:v>
      </x:c>
      <x:c r="C14" s="5" t="s">
        <x:v>16</x:v>
      </x:c>
      <x:c r="D14" s="5" t="s">
        <x:v>20</x:v>
      </x:c>
      <x:c r="E14" s="4" t="s">
        <x:v>91</x:v>
      </x:c>
      <x:c r="F14" s="4" t="s">
        <x:v>87</x:v>
      </x:c>
      <x:c r="G14" s="4" t="s">
        <x:v>92</x:v>
      </x:c>
      <x:c r="H14" s="6"/>
      <x:c r="I14" s="5" t="s">
        <x:v>2</x:v>
      </x:c>
      <x:c r="J14" s="5" t="s">
        <x:v>67</x:v>
      </x:c>
      <x:c r="K14" s="5"/>
      <x:c r="L14" s="5"/>
      <x:c r="M14" s="4">
        <x:f t="shared" si="0"/>
        <x:v>0</x:v>
      </x:c>
      <x:c r="N14" s="4" t="str">
        <x:f>IF(M14=1,"Xong",IF(AND(SUMIFS($M$6:$M$47,$A$6:$A$47,"SF08")=1),"Có thể bắt đầu","Chờ task trước"))</x:f>
        <x:v>Chờ task trước</x:v>
      </x:c>
    </x:row>
    <x:row r="15" ht="24" customHeight="1">
      <x:c r="A15" s="3" t="s">
        <x:v>93</x:v>
      </x:c>
      <x:c r="B15" s="3" t="s">
        <x:v>35</x:v>
      </x:c>
      <x:c r="C15" s="5" t="s">
        <x:v>18</x:v>
      </x:c>
      <x:c r="D15" s="5" t="s">
        <x:v>14</x:v>
      </x:c>
      <x:c r="E15" s="3" t="s">
        <x:v>94</x:v>
      </x:c>
      <x:c r="F15" s="3" t="s">
        <x:v>87</x:v>
      </x:c>
      <x:c r="G15" s="3" t="s">
        <x:v>95</x:v>
      </x:c>
      <x:c r="H15" s="6"/>
      <x:c r="I15" s="5" t="s">
        <x:v>2</x:v>
      </x:c>
      <x:c r="J15" s="5" t="s">
        <x:v>67</x:v>
      </x:c>
      <x:c r="K15" s="5"/>
      <x:c r="L15" s="5"/>
      <x:c r="M15" s="3">
        <x:f t="shared" si="0"/>
        <x:v>0</x:v>
      </x:c>
      <x:c r="N15" s="3" t="str">
        <x:f>IF(M15=1,"Xong",IF(AND(SUMIFS($M$6:$M$47,$A$6:$A$47,"SF08")=1),"Có thể bắt đầu","Chờ task trước"))</x:f>
        <x:v>Chờ task trước</x:v>
      </x:c>
    </x:row>
    <x:row r="16" ht="24" customHeight="1">
      <x:c r="A16" s="4" t="s">
        <x:v>96</x:v>
      </x:c>
      <x:c r="B16" s="4" t="s">
        <x:v>35</x:v>
      </x:c>
      <x:c r="C16" s="5" t="s">
        <x:v>20</x:v>
      </x:c>
      <x:c r="D16" s="5" t="s">
        <x:v>16</x:v>
      </x:c>
      <x:c r="E16" s="4" t="s">
        <x:v>97</x:v>
      </x:c>
      <x:c r="F16" s="4" t="s">
        <x:v>90</x:v>
      </x:c>
      <x:c r="G16" s="4" t="s">
        <x:v>98</x:v>
      </x:c>
      <x:c r="H16" s="6"/>
      <x:c r="I16" s="5" t="s">
        <x:v>2</x:v>
      </x:c>
      <x:c r="J16" s="5" t="s">
        <x:v>67</x:v>
      </x:c>
      <x:c r="K16" s="5"/>
      <x:c r="L16" s="5"/>
      <x:c r="M16" s="4">
        <x:f t="shared" si="0"/>
        <x:v>0</x:v>
      </x:c>
      <x:c r="N16" s="4" t="str">
        <x:f>IF(M16=1,"Xong",IF(AND(SUMIFS($M$6:$M$47,$A$6:$A$47,"SF09")=1),"Có thể bắt đầu","Chờ task trước"))</x:f>
        <x:v>Chờ task trước</x:v>
      </x:c>
    </x:row>
    <x:row r="17" ht="15" customHeight="1">
      <x:c r="A17" s="3" t="s">
        <x:v>99</x:v>
      </x:c>
      <x:c r="B17" s="3" t="s">
        <x:v>35</x:v>
      </x:c>
      <x:c r="C17" s="5" t="s">
        <x:v>22</x:v>
      </x:c>
      <x:c r="D17" s="5" t="s">
        <x:v>12</x:v>
      </x:c>
      <x:c r="E17" s="3" t="s">
        <x:v>100</x:v>
      </x:c>
      <x:c r="F17" s="3" t="s">
        <x:v>101</x:v>
      </x:c>
      <x:c r="G17" s="3" t="s">
        <x:v>102</x:v>
      </x:c>
      <x:c r="H17" s="6"/>
      <x:c r="I17" s="5" t="s">
        <x:v>2</x:v>
      </x:c>
      <x:c r="J17" s="5" t="s">
        <x:v>67</x:v>
      </x:c>
      <x:c r="K17" s="5"/>
      <x:c r="L17" s="5"/>
      <x:c r="M17" s="3">
        <x:f t="shared" si="0"/>
        <x:v>0</x:v>
      </x:c>
      <x:c r="N17" s="3" t="str">
        <x:f>IF(M17=1,"Xong",IF(AND(SUMIFS($M$6:$M$47,$A$6:$A$47,"SF09")=1,SUMIFS($M$6:$M$47,$A$6:$A$47,"SF10")=1,SUMIFS($M$6:$M$47,$A$6:$A$47,"SF11")=1),"Có thể bắt đầu","Chờ task trước"))</x:f>
        <x:v>Chờ task trước</x:v>
      </x:c>
    </x:row>
    <x:row r="18" ht="24" customHeight="1">
      <x:c r="A18" s="4" t="s">
        <x:v>103</x:v>
      </x:c>
      <x:c r="B18" s="4" t="s">
        <x:v>37</x:v>
      </x:c>
      <x:c r="C18" s="5" t="s">
        <x:v>12</x:v>
      </x:c>
      <x:c r="D18" s="5" t="s">
        <x:v>22</x:v>
      </x:c>
      <x:c r="E18" s="4" t="s">
        <x:v>104</x:v>
      </x:c>
      <x:c r="F18" s="4" t="s">
        <x:v>99</x:v>
      </x:c>
      <x:c r="G18" s="4" t="s">
        <x:v>105</x:v>
      </x:c>
      <x:c r="H18" s="6"/>
      <x:c r="I18" s="5" t="s">
        <x:v>2</x:v>
      </x:c>
      <x:c r="J18" s="5" t="s">
        <x:v>67</x:v>
      </x:c>
      <x:c r="K18" s="5"/>
      <x:c r="L18" s="5"/>
      <x:c r="M18" s="4">
        <x:f t="shared" si="0"/>
        <x:v>0</x:v>
      </x:c>
      <x:c r="N18" s="4" t="str">
        <x:f>IF(M18=1,"Xong",IF(AND(SUMIFS($M$6:$M$47,$A$6:$A$47,"SF12")=1),"Có thể bắt đầu","Chờ task trước"))</x:f>
        <x:v>Chờ task trước</x:v>
      </x:c>
    </x:row>
    <x:row r="19" ht="24" customHeight="1">
      <x:c r="A19" s="3" t="s">
        <x:v>106</x:v>
      </x:c>
      <x:c r="B19" s="3" t="s">
        <x:v>37</x:v>
      </x:c>
      <x:c r="C19" s="5" t="s">
        <x:v>14</x:v>
      </x:c>
      <x:c r="D19" s="5" t="s">
        <x:v>18</x:v>
      </x:c>
      <x:c r="E19" s="3" t="s">
        <x:v>107</x:v>
      </x:c>
      <x:c r="F19" s="3" t="s">
        <x:v>103</x:v>
      </x:c>
      <x:c r="G19" s="3" t="s">
        <x:v>108</x:v>
      </x:c>
      <x:c r="H19" s="6"/>
      <x:c r="I19" s="5" t="s">
        <x:v>2</x:v>
      </x:c>
      <x:c r="J19" s="5" t="s">
        <x:v>67</x:v>
      </x:c>
      <x:c r="K19" s="5"/>
      <x:c r="L19" s="5"/>
      <x:c r="M19" s="3">
        <x:f t="shared" si="0"/>
        <x:v>0</x:v>
      </x:c>
      <x:c r="N19" s="3" t="str">
        <x:f>IF(M19=1,"Xong",IF(AND(SUMIFS($M$6:$M$47,$A$6:$A$47,"SF13")=1),"Có thể bắt đầu","Chờ task trước"))</x:f>
        <x:v>Chờ task trước</x:v>
      </x:c>
    </x:row>
    <x:row r="20" ht="24" customHeight="1">
      <x:c r="A20" s="4" t="s">
        <x:v>109</x:v>
      </x:c>
      <x:c r="B20" s="4" t="s">
        <x:v>37</x:v>
      </x:c>
      <x:c r="C20" s="5" t="s">
        <x:v>16</x:v>
      </x:c>
      <x:c r="D20" s="5" t="s">
        <x:v>20</x:v>
      </x:c>
      <x:c r="E20" s="4" t="s">
        <x:v>110</x:v>
      </x:c>
      <x:c r="F20" s="4" t="s">
        <x:v>111</x:v>
      </x:c>
      <x:c r="G20" s="4" t="s">
        <x:v>112</x:v>
      </x:c>
      <x:c r="H20" s="6"/>
      <x:c r="I20" s="5" t="s">
        <x:v>2</x:v>
      </x:c>
      <x:c r="J20" s="5" t="s">
        <x:v>67</x:v>
      </x:c>
      <x:c r="K20" s="5"/>
      <x:c r="L20" s="5"/>
      <x:c r="M20" s="4">
        <x:f t="shared" si="0"/>
        <x:v>0</x:v>
      </x:c>
      <x:c r="N20" s="4" t="str">
        <x:f>IF(M20=1,"Xong",IF(AND(SUMIFS($M$6:$M$47,$A$6:$A$47,"SF13")=1,SUMIFS($M$6:$M$47,$A$6:$A$47,"SF14")=1),"Có thể bắt đầu","Chờ task trước"))</x:f>
        <x:v>Chờ task trước</x:v>
      </x:c>
    </x:row>
    <x:row r="21" ht="15" customHeight="1">
      <x:c r="A21" s="3" t="s">
        <x:v>113</x:v>
      </x:c>
      <x:c r="B21" s="3" t="s">
        <x:v>37</x:v>
      </x:c>
      <x:c r="C21" s="5" t="s">
        <x:v>18</x:v>
      </x:c>
      <x:c r="D21" s="5" t="s">
        <x:v>14</x:v>
      </x:c>
      <x:c r="E21" s="3" t="s">
        <x:v>114</x:v>
      </x:c>
      <x:c r="F21" s="3" t="s">
        <x:v>111</x:v>
      </x:c>
      <x:c r="G21" s="3" t="s">
        <x:v>115</x:v>
      </x:c>
      <x:c r="H21" s="6"/>
      <x:c r="I21" s="5" t="s">
        <x:v>2</x:v>
      </x:c>
      <x:c r="J21" s="5" t="s">
        <x:v>67</x:v>
      </x:c>
      <x:c r="K21" s="5"/>
      <x:c r="L21" s="5"/>
      <x:c r="M21" s="3">
        <x:f t="shared" si="0"/>
        <x:v>0</x:v>
      </x:c>
      <x:c r="N21" s="3" t="str">
        <x:f>IF(M21=1,"Xong",IF(AND(SUMIFS($M$6:$M$47,$A$6:$A$47,"SF13")=1,SUMIFS($M$6:$M$47,$A$6:$A$47,"SF14")=1),"Có thể bắt đầu","Chờ task trước"))</x:f>
        <x:v>Chờ task trước</x:v>
      </x:c>
    </x:row>
    <x:row r="22" ht="24" customHeight="1">
      <x:c r="A22" s="4" t="s">
        <x:v>116</x:v>
      </x:c>
      <x:c r="B22" s="4" t="s">
        <x:v>37</x:v>
      </x:c>
      <x:c r="C22" s="5" t="s">
        <x:v>20</x:v>
      </x:c>
      <x:c r="D22" s="5" t="s">
        <x:v>16</x:v>
      </x:c>
      <x:c r="E22" s="4" t="s">
        <x:v>117</x:v>
      </x:c>
      <x:c r="F22" s="4" t="s">
        <x:v>118</x:v>
      </x:c>
      <x:c r="G22" s="4" t="s">
        <x:v>119</x:v>
      </x:c>
      <x:c r="H22" s="6"/>
      <x:c r="I22" s="5" t="s">
        <x:v>2</x:v>
      </x:c>
      <x:c r="J22" s="5" t="s">
        <x:v>67</x:v>
      </x:c>
      <x:c r="K22" s="5"/>
      <x:c r="L22" s="5"/>
      <x:c r="M22" s="4">
        <x:f t="shared" si="0"/>
        <x:v>0</x:v>
      </x:c>
      <x:c r="N22" s="4" t="str">
        <x:f>IF(M22=1,"Xong",IF(AND(SUMIFS($M$6:$M$47,$A$6:$A$47,"SF14")=1,SUMIFS($M$6:$M$47,$A$6:$A$47,"SF15")=1),"Có thể bắt đầu","Chờ task trước"))</x:f>
        <x:v>Chờ task trước</x:v>
      </x:c>
    </x:row>
    <x:row r="23" ht="24" customHeight="1">
      <x:c r="A23" s="3" t="s">
        <x:v>120</x:v>
      </x:c>
      <x:c r="B23" s="3" t="s">
        <x:v>37</x:v>
      </x:c>
      <x:c r="C23" s="5" t="s">
        <x:v>22</x:v>
      </x:c>
      <x:c r="D23" s="5" t="s">
        <x:v>12</x:v>
      </x:c>
      <x:c r="E23" s="3" t="s">
        <x:v>121</x:v>
      </x:c>
      <x:c r="F23" s="3" t="s">
        <x:v>122</x:v>
      </x:c>
      <x:c r="G23" s="3" t="s">
        <x:v>123</x:v>
      </x:c>
      <x:c r="H23" s="6"/>
      <x:c r="I23" s="5" t="s">
        <x:v>2</x:v>
      </x:c>
      <x:c r="J23" s="5" t="s">
        <x:v>67</x:v>
      </x:c>
      <x:c r="K23" s="5"/>
      <x:c r="L23" s="5"/>
      <x:c r="M23" s="3">
        <x:f t="shared" si="0"/>
        <x:v>0</x:v>
      </x:c>
      <x:c r="N23" s="3" t="str">
        <x:f>IF(M23=1,"Xong",IF(AND(SUMIFS($M$6:$M$47,$A$6:$A$47,"SF15")=1,SUMIFS($M$6:$M$47,$A$6:$A$47,"SF16")=1,SUMIFS($M$6:$M$47,$A$6:$A$47,"SF17")=1),"Có thể bắt đầu","Chờ task trước"))</x:f>
        <x:v>Chờ task trước</x:v>
      </x:c>
    </x:row>
    <x:row r="24" ht="24" customHeight="1">
      <x:c r="A24" s="4" t="s">
        <x:v>124</x:v>
      </x:c>
      <x:c r="B24" s="4" t="s">
        <x:v>39</x:v>
      </x:c>
      <x:c r="C24" s="5" t="s">
        <x:v>12</x:v>
      </x:c>
      <x:c r="D24" s="5" t="s">
        <x:v>22</x:v>
      </x:c>
      <x:c r="E24" s="4" t="s">
        <x:v>125</x:v>
      </x:c>
      <x:c r="F24" s="4" t="s">
        <x:v>120</x:v>
      </x:c>
      <x:c r="G24" s="4" t="s">
        <x:v>126</x:v>
      </x:c>
      <x:c r="H24" s="6"/>
      <x:c r="I24" s="5" t="s">
        <x:v>2</x:v>
      </x:c>
      <x:c r="J24" s="5" t="s">
        <x:v>67</x:v>
      </x:c>
      <x:c r="K24" s="5"/>
      <x:c r="L24" s="5"/>
      <x:c r="M24" s="4">
        <x:f t="shared" si="0"/>
        <x:v>0</x:v>
      </x:c>
      <x:c r="N24" s="4" t="str">
        <x:f>IF(M24=1,"Xong",IF(AND(SUMIFS($M$6:$M$47,$A$6:$A$47,"SF18")=1),"Có thể bắt đầu","Chờ task trước"))</x:f>
        <x:v>Chờ task trước</x:v>
      </x:c>
    </x:row>
    <x:row r="25" ht="24" customHeight="1">
      <x:c r="A25" s="3" t="s">
        <x:v>127</x:v>
      </x:c>
      <x:c r="B25" s="3" t="s">
        <x:v>39</x:v>
      </x:c>
      <x:c r="C25" s="5" t="s">
        <x:v>14</x:v>
      </x:c>
      <x:c r="D25" s="5" t="s">
        <x:v>18</x:v>
      </x:c>
      <x:c r="E25" s="3" t="s">
        <x:v>128</x:v>
      </x:c>
      <x:c r="F25" s="3" t="s">
        <x:v>124</x:v>
      </x:c>
      <x:c r="G25" s="3" t="s">
        <x:v>129</x:v>
      </x:c>
      <x:c r="H25" s="6"/>
      <x:c r="I25" s="5" t="s">
        <x:v>2</x:v>
      </x:c>
      <x:c r="J25" s="5" t="s">
        <x:v>67</x:v>
      </x:c>
      <x:c r="K25" s="5"/>
      <x:c r="L25" s="5"/>
      <x:c r="M25" s="3">
        <x:f t="shared" si="0"/>
        <x:v>0</x:v>
      </x:c>
      <x:c r="N25" s="3" t="str">
        <x:f>IF(M25=1,"Xong",IF(AND(SUMIFS($M$6:$M$47,$A$6:$A$47,"SF19")=1),"Có thể bắt đầu","Chờ task trước"))</x:f>
        <x:v>Chờ task trước</x:v>
      </x:c>
    </x:row>
    <x:row r="26" ht="15" customHeight="1">
      <x:c r="A26" s="4" t="s">
        <x:v>130</x:v>
      </x:c>
      <x:c r="B26" s="4" t="s">
        <x:v>39</x:v>
      </x:c>
      <x:c r="C26" s="5" t="s">
        <x:v>16</x:v>
      </x:c>
      <x:c r="D26" s="5" t="s">
        <x:v>20</x:v>
      </x:c>
      <x:c r="E26" s="4" t="s">
        <x:v>131</x:v>
      </x:c>
      <x:c r="F26" s="4" t="s">
        <x:v>132</x:v>
      </x:c>
      <x:c r="G26" s="4" t="s">
        <x:v>133</x:v>
      </x:c>
      <x:c r="H26" s="6"/>
      <x:c r="I26" s="5" t="s">
        <x:v>2</x:v>
      </x:c>
      <x:c r="J26" s="5" t="s">
        <x:v>67</x:v>
      </x:c>
      <x:c r="K26" s="5"/>
      <x:c r="L26" s="5"/>
      <x:c r="M26" s="4">
        <x:f t="shared" si="0"/>
        <x:v>0</x:v>
      </x:c>
      <x:c r="N26" s="4" t="str">
        <x:f>IF(M26=1,"Xong",IF(AND(SUMIFS($M$6:$M$47,$A$6:$A$47,"SF22")=1),"Có thể bắt đầu","Chờ task trước"))</x:f>
        <x:v>Chờ task trước</x:v>
      </x:c>
    </x:row>
    <x:row r="27" ht="24" customHeight="1">
      <x:c r="A27" s="3" t="s">
        <x:v>132</x:v>
      </x:c>
      <x:c r="B27" s="3" t="s">
        <x:v>39</x:v>
      </x:c>
      <x:c r="C27" s="5" t="s">
        <x:v>18</x:v>
      </x:c>
      <x:c r="D27" s="5" t="s">
        <x:v>14</x:v>
      </x:c>
      <x:c r="E27" s="3" t="s">
        <x:v>134</x:v>
      </x:c>
      <x:c r="F27" s="3" t="s">
        <x:v>135</x:v>
      </x:c>
      <x:c r="G27" s="3" t="s">
        <x:v>136</x:v>
      </x:c>
      <x:c r="H27" s="6"/>
      <x:c r="I27" s="5" t="s">
        <x:v>2</x:v>
      </x:c>
      <x:c r="J27" s="5" t="s">
        <x:v>67</x:v>
      </x:c>
      <x:c r="K27" s="5"/>
      <x:c r="L27" s="5"/>
      <x:c r="M27" s="3">
        <x:f t="shared" si="0"/>
        <x:v>0</x:v>
      </x:c>
      <x:c r="N27" s="3" t="str">
        <x:f>IF(M27=1,"Xong",IF(AND(SUMIFS($M$6:$M$47,$A$6:$A$47,"SF19")=1,SUMIFS($M$6:$M$47,$A$6:$A$47,"SF20")=1),"Có thể bắt đầu","Chờ task trước"))</x:f>
        <x:v>Chờ task trước</x:v>
      </x:c>
    </x:row>
    <x:row r="28" ht="15" customHeight="1">
      <x:c r="A28" s="4" t="s">
        <x:v>137</x:v>
      </x:c>
      <x:c r="B28" s="4" t="s">
        <x:v>39</x:v>
      </x:c>
      <x:c r="C28" s="5" t="s">
        <x:v>20</x:v>
      </x:c>
      <x:c r="D28" s="5" t="s">
        <x:v>16</x:v>
      </x:c>
      <x:c r="E28" s="4" t="s">
        <x:v>138</x:v>
      </x:c>
      <x:c r="F28" s="4" t="s">
        <x:v>139</x:v>
      </x:c>
      <x:c r="G28" s="4" t="s">
        <x:v>140</x:v>
      </x:c>
      <x:c r="H28" s="6"/>
      <x:c r="I28" s="5" t="s">
        <x:v>2</x:v>
      </x:c>
      <x:c r="J28" s="5" t="s">
        <x:v>67</x:v>
      </x:c>
      <x:c r="K28" s="5"/>
      <x:c r="L28" s="5"/>
      <x:c r="M28" s="4">
        <x:f t="shared" si="0"/>
        <x:v>0</x:v>
      </x:c>
      <x:c r="N28" s="4" t="str">
        <x:f>IF(M28=1,"Xong",IF(AND(SUMIFS($M$6:$M$47,$A$6:$A$47,"SF20")=1,SUMIFS($M$6:$M$47,$A$6:$A$47,"SF22")=1),"Có thể bắt đầu","Chờ task trước"))</x:f>
        <x:v>Chờ task trước</x:v>
      </x:c>
    </x:row>
    <x:row r="29" ht="24" customHeight="1">
      <x:c r="A29" s="3" t="s">
        <x:v>141</x:v>
      </x:c>
      <x:c r="B29" s="3" t="s">
        <x:v>39</x:v>
      </x:c>
      <x:c r="C29" s="5" t="s">
        <x:v>22</x:v>
      </x:c>
      <x:c r="D29" s="5" t="s">
        <x:v>12</x:v>
      </x:c>
      <x:c r="E29" s="3" t="s">
        <x:v>142</x:v>
      </x:c>
      <x:c r="F29" s="3" t="s">
        <x:v>143</x:v>
      </x:c>
      <x:c r="G29" s="3" t="s">
        <x:v>144</x:v>
      </x:c>
      <x:c r="H29" s="6"/>
      <x:c r="I29" s="5" t="s">
        <x:v>2</x:v>
      </x:c>
      <x:c r="J29" s="5" t="s">
        <x:v>67</x:v>
      </x:c>
      <x:c r="K29" s="5"/>
      <x:c r="L29" s="5"/>
      <x:c r="M29" s="3">
        <x:f t="shared" si="0"/>
        <x:v>0</x:v>
      </x:c>
      <x:c r="N29" s="3" t="str">
        <x:f>IF(M29=1,"Xong",IF(AND(SUMIFS($M$6:$M$47,$A$6:$A$47,"SF21")=1,SUMIFS($M$6:$M$47,$A$6:$A$47,"SF23")=1),"Có thể bắt đầu","Chờ task trước"))</x:f>
        <x:v>Chờ task trước</x:v>
      </x:c>
    </x:row>
    <x:row r="30" ht="24" customHeight="1">
      <x:c r="A30" s="4" t="s">
        <x:v>145</x:v>
      </x:c>
      <x:c r="B30" s="4" t="s">
        <x:v>41</x:v>
      </x:c>
      <x:c r="C30" s="5" t="s">
        <x:v>12</x:v>
      </x:c>
      <x:c r="D30" s="5" t="s">
        <x:v>22</x:v>
      </x:c>
      <x:c r="E30" s="4" t="s">
        <x:v>146</x:v>
      </x:c>
      <x:c r="F30" s="4" t="s">
        <x:v>141</x:v>
      </x:c>
      <x:c r="G30" s="4" t="s">
        <x:v>147</x:v>
      </x:c>
      <x:c r="H30" s="6"/>
      <x:c r="I30" s="5" t="s">
        <x:v>2</x:v>
      </x:c>
      <x:c r="J30" s="5" t="s">
        <x:v>67</x:v>
      </x:c>
      <x:c r="K30" s="5"/>
      <x:c r="L30" s="5"/>
      <x:c r="M30" s="4">
        <x:f t="shared" si="0"/>
        <x:v>0</x:v>
      </x:c>
      <x:c r="N30" s="4" t="str">
        <x:f>IF(M30=1,"Xong",IF(AND(SUMIFS($M$6:$M$47,$A$6:$A$47,"SF24")=1),"Có thể bắt đầu","Chờ task trước"))</x:f>
        <x:v>Chờ task trước</x:v>
      </x:c>
    </x:row>
    <x:row r="31" ht="24" customHeight="1">
      <x:c r="A31" s="3" t="s">
        <x:v>148</x:v>
      </x:c>
      <x:c r="B31" s="3" t="s">
        <x:v>41</x:v>
      </x:c>
      <x:c r="C31" s="5" t="s">
        <x:v>14</x:v>
      </x:c>
      <x:c r="D31" s="5" t="s">
        <x:v>18</x:v>
      </x:c>
      <x:c r="E31" s="3" t="s">
        <x:v>149</x:v>
      </x:c>
      <x:c r="F31" s="3" t="s">
        <x:v>145</x:v>
      </x:c>
      <x:c r="G31" s="3" t="s">
        <x:v>150</x:v>
      </x:c>
      <x:c r="H31" s="6"/>
      <x:c r="I31" s="5" t="s">
        <x:v>2</x:v>
      </x:c>
      <x:c r="J31" s="5" t="s">
        <x:v>67</x:v>
      </x:c>
      <x:c r="K31" s="5"/>
      <x:c r="L31" s="5"/>
      <x:c r="M31" s="3">
        <x:f t="shared" si="0"/>
        <x:v>0</x:v>
      </x:c>
      <x:c r="N31" s="3" t="str">
        <x:f>IF(M31=1,"Xong",IF(AND(SUMIFS($M$6:$M$47,$A$6:$A$47,"SF25")=1),"Có thể bắt đầu","Chờ task trước"))</x:f>
        <x:v>Chờ task trước</x:v>
      </x:c>
    </x:row>
    <x:row r="32" ht="15" customHeight="1">
      <x:c r="A32" s="4" t="s">
        <x:v>151</x:v>
      </x:c>
      <x:c r="B32" s="4" t="s">
        <x:v>41</x:v>
      </x:c>
      <x:c r="C32" s="5" t="s">
        <x:v>16</x:v>
      </x:c>
      <x:c r="D32" s="5" t="s">
        <x:v>20</x:v>
      </x:c>
      <x:c r="E32" s="4" t="s">
        <x:v>152</x:v>
      </x:c>
      <x:c r="F32" s="4" t="s">
        <x:v>153</x:v>
      </x:c>
      <x:c r="G32" s="4" t="s">
        <x:v>154</x:v>
      </x:c>
      <x:c r="H32" s="6"/>
      <x:c r="I32" s="5" t="s">
        <x:v>2</x:v>
      </x:c>
      <x:c r="J32" s="5" t="s">
        <x:v>67</x:v>
      </x:c>
      <x:c r="K32" s="5"/>
      <x:c r="L32" s="5"/>
      <x:c r="M32" s="4">
        <x:f t="shared" si="0"/>
        <x:v>0</x:v>
      </x:c>
      <x:c r="N32" s="4" t="str">
        <x:f>IF(M32=1,"Xong",IF(AND(SUMIFS($M$6:$M$47,$A$6:$A$47,"SF28")=1),"Có thể bắt đầu","Chờ task trước"))</x:f>
        <x:v>Chờ task trước</x:v>
      </x:c>
    </x:row>
    <x:row r="33" ht="15" customHeight="1">
      <x:c r="A33" s="3" t="s">
        <x:v>153</x:v>
      </x:c>
      <x:c r="B33" s="3" t="s">
        <x:v>41</x:v>
      </x:c>
      <x:c r="C33" s="5" t="s">
        <x:v>18</x:v>
      </x:c>
      <x:c r="D33" s="5" t="s">
        <x:v>14</x:v>
      </x:c>
      <x:c r="E33" s="3" t="s">
        <x:v>155</x:v>
      </x:c>
      <x:c r="F33" s="3" t="s">
        <x:v>156</x:v>
      </x:c>
      <x:c r="G33" s="3" t="s">
        <x:v>157</x:v>
      </x:c>
      <x:c r="H33" s="6"/>
      <x:c r="I33" s="5" t="s">
        <x:v>2</x:v>
      </x:c>
      <x:c r="J33" s="5" t="s">
        <x:v>67</x:v>
      </x:c>
      <x:c r="K33" s="5"/>
      <x:c r="L33" s="5"/>
      <x:c r="M33" s="3">
        <x:f t="shared" si="0"/>
        <x:v>0</x:v>
      </x:c>
      <x:c r="N33" s="3" t="str">
        <x:f>IF(M33=1,"Xong",IF(AND(SUMIFS($M$6:$M$47,$A$6:$A$47,"SF25")=1,SUMIFS($M$6:$M$47,$A$6:$A$47,"SF26")=1),"Có thể bắt đầu","Chờ task trước"))</x:f>
        <x:v>Chờ task trước</x:v>
      </x:c>
    </x:row>
    <x:row r="34" ht="15" customHeight="1">
      <x:c r="A34" s="4" t="s">
        <x:v>158</x:v>
      </x:c>
      <x:c r="B34" s="4" t="s">
        <x:v>41</x:v>
      </x:c>
      <x:c r="C34" s="5" t="s">
        <x:v>20</x:v>
      </x:c>
      <x:c r="D34" s="5" t="s">
        <x:v>16</x:v>
      </x:c>
      <x:c r="E34" s="4" t="s">
        <x:v>159</x:v>
      </x:c>
      <x:c r="F34" s="4" t="s">
        <x:v>160</x:v>
      </x:c>
      <x:c r="G34" s="4" t="s">
        <x:v>161</x:v>
      </x:c>
      <x:c r="H34" s="6"/>
      <x:c r="I34" s="5" t="s">
        <x:v>2</x:v>
      </x:c>
      <x:c r="J34" s="5" t="s">
        <x:v>67</x:v>
      </x:c>
      <x:c r="K34" s="5"/>
      <x:c r="L34" s="5"/>
      <x:c r="M34" s="4">
        <x:f t="shared" si="0"/>
        <x:v>0</x:v>
      </x:c>
      <x:c r="N34" s="4" t="str">
        <x:f>IF(M34=1,"Xong",IF(AND(SUMIFS($M$6:$M$47,$A$6:$A$47,"SF26")=1,SUMIFS($M$6:$M$47,$A$6:$A$47,"SF28")=1),"Có thể bắt đầu","Chờ task trước"))</x:f>
        <x:v>Chờ task trước</x:v>
      </x:c>
    </x:row>
    <x:row r="35" ht="15" customHeight="1">
      <x:c r="A35" s="3" t="s">
        <x:v>162</x:v>
      </x:c>
      <x:c r="B35" s="3" t="s">
        <x:v>41</x:v>
      </x:c>
      <x:c r="C35" s="5" t="s">
        <x:v>22</x:v>
      </x:c>
      <x:c r="D35" s="5" t="s">
        <x:v>12</x:v>
      </x:c>
      <x:c r="E35" s="3" t="s">
        <x:v>163</x:v>
      </x:c>
      <x:c r="F35" s="3" t="s">
        <x:v>164</x:v>
      </x:c>
      <x:c r="G35" s="3" t="s">
        <x:v>165</x:v>
      </x:c>
      <x:c r="H35" s="6"/>
      <x:c r="I35" s="5" t="s">
        <x:v>2</x:v>
      </x:c>
      <x:c r="J35" s="5" t="s">
        <x:v>67</x:v>
      </x:c>
      <x:c r="K35" s="5"/>
      <x:c r="L35" s="5"/>
      <x:c r="M35" s="3">
        <x:f t="shared" si="0"/>
        <x:v>0</x:v>
      </x:c>
      <x:c r="N35" s="3" t="str">
        <x:f>IF(M35=1,"Xong",IF(AND(SUMIFS($M$6:$M$47,$A$6:$A$47,"SF27")=1,SUMIFS($M$6:$M$47,$A$6:$A$47,"SF29")=1),"Có thể bắt đầu","Chờ task trước"))</x:f>
        <x:v>Chờ task trước</x:v>
      </x:c>
    </x:row>
    <x:row r="36" ht="24" customHeight="1">
      <x:c r="A36" s="4" t="s">
        <x:v>166</x:v>
      </x:c>
      <x:c r="B36" s="4" t="s">
        <x:v>43</x:v>
      </x:c>
      <x:c r="C36" s="5" t="s">
        <x:v>12</x:v>
      </x:c>
      <x:c r="D36" s="5" t="s">
        <x:v>22</x:v>
      </x:c>
      <x:c r="E36" s="4" t="s">
        <x:v>167</x:v>
      </x:c>
      <x:c r="F36" s="4" t="s">
        <x:v>162</x:v>
      </x:c>
      <x:c r="G36" s="4" t="s">
        <x:v>168</x:v>
      </x:c>
      <x:c r="H36" s="6"/>
      <x:c r="I36" s="5" t="s">
        <x:v>2</x:v>
      </x:c>
      <x:c r="J36" s="5" t="s">
        <x:v>67</x:v>
      </x:c>
      <x:c r="K36" s="5"/>
      <x:c r="L36" s="5"/>
      <x:c r="M36" s="4">
        <x:f t="shared" si="0"/>
        <x:v>0</x:v>
      </x:c>
      <x:c r="N36" s="4" t="str">
        <x:f>IF(M36=1,"Xong",IF(AND(SUMIFS($M$6:$M$47,$A$6:$A$47,"SF30")=1),"Có thể bắt đầu","Chờ task trước"))</x:f>
        <x:v>Chờ task trước</x:v>
      </x:c>
    </x:row>
    <x:row r="37" ht="15" customHeight="1">
      <x:c r="A37" s="3" t="s">
        <x:v>169</x:v>
      </x:c>
      <x:c r="B37" s="3" t="s">
        <x:v>43</x:v>
      </x:c>
      <x:c r="C37" s="5" t="s">
        <x:v>14</x:v>
      </x:c>
      <x:c r="D37" s="5" t="s">
        <x:v>18</x:v>
      </x:c>
      <x:c r="E37" s="3" t="s">
        <x:v>170</x:v>
      </x:c>
      <x:c r="F37" s="3" t="s">
        <x:v>166</x:v>
      </x:c>
      <x:c r="G37" s="3" t="s">
        <x:v>171</x:v>
      </x:c>
      <x:c r="H37" s="6"/>
      <x:c r="I37" s="5" t="s">
        <x:v>2</x:v>
      </x:c>
      <x:c r="J37" s="5" t="s">
        <x:v>67</x:v>
      </x:c>
      <x:c r="K37" s="5"/>
      <x:c r="L37" s="5"/>
      <x:c r="M37" s="3">
        <x:f t="shared" si="0"/>
        <x:v>0</x:v>
      </x:c>
      <x:c r="N37" s="3" t="str">
        <x:f>IF(M37=1,"Xong",IF(AND(SUMIFS($M$6:$M$47,$A$6:$A$47,"SF31")=1),"Có thể bắt đầu","Chờ task trước"))</x:f>
        <x:v>Chờ task trước</x:v>
      </x:c>
    </x:row>
    <x:row r="38" ht="15" customHeight="1">
      <x:c r="A38" s="4" t="s">
        <x:v>172</x:v>
      </x:c>
      <x:c r="B38" s="4" t="s">
        <x:v>43</x:v>
      </x:c>
      <x:c r="C38" s="5" t="s">
        <x:v>16</x:v>
      </x:c>
      <x:c r="D38" s="5" t="s">
        <x:v>20</x:v>
      </x:c>
      <x:c r="E38" s="4" t="s">
        <x:v>173</x:v>
      </x:c>
      <x:c r="F38" s="4" t="s">
        <x:v>174</x:v>
      </x:c>
      <x:c r="G38" s="4" t="s">
        <x:v>175</x:v>
      </x:c>
      <x:c r="H38" s="6"/>
      <x:c r="I38" s="5" t="s">
        <x:v>2</x:v>
      </x:c>
      <x:c r="J38" s="5" t="s">
        <x:v>67</x:v>
      </x:c>
      <x:c r="K38" s="5"/>
      <x:c r="L38" s="5"/>
      <x:c r="M38" s="4">
        <x:f t="shared" si="0"/>
        <x:v>0</x:v>
      </x:c>
      <x:c r="N38" s="4" t="str">
        <x:f>IF(M38=1,"Xong",IF(AND(SUMIFS($M$6:$M$47,$A$6:$A$47,"SF34")=1),"Có thể bắt đầu","Chờ task trước"))</x:f>
        <x:v>Chờ task trước</x:v>
      </x:c>
    </x:row>
    <x:row r="39" ht="24" customHeight="1">
      <x:c r="A39" s="3" t="s">
        <x:v>174</x:v>
      </x:c>
      <x:c r="B39" s="3" t="s">
        <x:v>43</x:v>
      </x:c>
      <x:c r="C39" s="5" t="s">
        <x:v>18</x:v>
      </x:c>
      <x:c r="D39" s="5" t="s">
        <x:v>14</x:v>
      </x:c>
      <x:c r="E39" s="3" t="s">
        <x:v>176</x:v>
      </x:c>
      <x:c r="F39" s="3" t="s">
        <x:v>166</x:v>
      </x:c>
      <x:c r="G39" s="3" t="s">
        <x:v>177</x:v>
      </x:c>
      <x:c r="H39" s="6"/>
      <x:c r="I39" s="5" t="s">
        <x:v>2</x:v>
      </x:c>
      <x:c r="J39" s="5" t="s">
        <x:v>67</x:v>
      </x:c>
      <x:c r="K39" s="5"/>
      <x:c r="L39" s="5"/>
      <x:c r="M39" s="3">
        <x:f t="shared" si="0"/>
        <x:v>0</x:v>
      </x:c>
      <x:c r="N39" s="3" t="str">
        <x:f>IF(M39=1,"Xong",IF(AND(SUMIFS($M$6:$M$47,$A$6:$A$47,"SF31")=1),"Có thể bắt đầu","Chờ task trước"))</x:f>
        <x:v>Chờ task trước</x:v>
      </x:c>
    </x:row>
    <x:row r="40" ht="24" customHeight="1">
      <x:c r="A40" s="4" t="s">
        <x:v>178</x:v>
      </x:c>
      <x:c r="B40" s="4" t="s">
        <x:v>43</x:v>
      </x:c>
      <x:c r="C40" s="5" t="s">
        <x:v>20</x:v>
      </x:c>
      <x:c r="D40" s="5" t="s">
        <x:v>16</x:v>
      </x:c>
      <x:c r="E40" s="4" t="s">
        <x:v>179</x:v>
      </x:c>
      <x:c r="F40" s="4" t="s">
        <x:v>169</x:v>
      </x:c>
      <x:c r="G40" s="4" t="s">
        <x:v>180</x:v>
      </x:c>
      <x:c r="H40" s="6"/>
      <x:c r="I40" s="5" t="s">
        <x:v>2</x:v>
      </x:c>
      <x:c r="J40" s="5" t="s">
        <x:v>67</x:v>
      </x:c>
      <x:c r="K40" s="5"/>
      <x:c r="L40" s="5"/>
      <x:c r="M40" s="4">
        <x:f t="shared" si="0"/>
        <x:v>0</x:v>
      </x:c>
      <x:c r="N40" s="4" t="str">
        <x:f>IF(M40=1,"Xong",IF(AND(SUMIFS($M$6:$M$47,$A$6:$A$47,"SF32")=1),"Có thể bắt đầu","Chờ task trước"))</x:f>
        <x:v>Chờ task trước</x:v>
      </x:c>
    </x:row>
    <x:row r="41" ht="24" customHeight="1">
      <x:c r="A41" s="3" t="s">
        <x:v>181</x:v>
      </x:c>
      <x:c r="B41" s="3" t="s">
        <x:v>43</x:v>
      </x:c>
      <x:c r="C41" s="5" t="s">
        <x:v>22</x:v>
      </x:c>
      <x:c r="D41" s="5" t="s">
        <x:v>12</x:v>
      </x:c>
      <x:c r="E41" s="3" t="s">
        <x:v>182</x:v>
      </x:c>
      <x:c r="F41" s="3" t="s">
        <x:v>183</x:v>
      </x:c>
      <x:c r="G41" s="3" t="s">
        <x:v>184</x:v>
      </x:c>
      <x:c r="H41" s="6"/>
      <x:c r="I41" s="5" t="s">
        <x:v>2</x:v>
      </x:c>
      <x:c r="J41" s="5" t="s">
        <x:v>67</x:v>
      </x:c>
      <x:c r="K41" s="5"/>
      <x:c r="L41" s="5"/>
      <x:c r="M41" s="3">
        <x:f t="shared" si="0"/>
        <x:v>0</x:v>
      </x:c>
      <x:c r="N41" s="3" t="str">
        <x:f>IF(M41=1,"Xong",IF(AND(SUMIFS($M$6:$M$47,$A$6:$A$47,"SF32")=1,SUMIFS($M$6:$M$47,$A$6:$A$47,"SF33")=1,SUMIFS($M$6:$M$47,$A$6:$A$47,"SF34")=1,SUMIFS($M$6:$M$47,$A$6:$A$47,"SF35")=1),"Có thể bắt đầu","Chờ task trước"))</x:f>
        <x:v>Chờ task trước</x:v>
      </x:c>
    </x:row>
    <x:row r="42" ht="24" customHeight="1">
      <x:c r="A42" s="4" t="s">
        <x:v>185</x:v>
      </x:c>
      <x:c r="B42" s="4" t="s">
        <x:v>45</x:v>
      </x:c>
      <x:c r="C42" s="5" t="s">
        <x:v>12</x:v>
      </x:c>
      <x:c r="D42" s="5" t="s">
        <x:v>22</x:v>
      </x:c>
      <x:c r="E42" s="4" t="s">
        <x:v>186</x:v>
      </x:c>
      <x:c r="F42" s="4" t="s">
        <x:v>181</x:v>
      </x:c>
      <x:c r="G42" s="4" t="s">
        <x:v>187</x:v>
      </x:c>
      <x:c r="H42" s="6"/>
      <x:c r="I42" s="5" t="s">
        <x:v>2</x:v>
      </x:c>
      <x:c r="J42" s="5" t="s">
        <x:v>67</x:v>
      </x:c>
      <x:c r="K42" s="5"/>
      <x:c r="L42" s="5"/>
      <x:c r="M42" s="4">
        <x:f t="shared" si="0"/>
        <x:v>0</x:v>
      </x:c>
      <x:c r="N42" s="4" t="str">
        <x:f>IF(M42=1,"Xong",IF(Team!$B$5&lt;&gt;"Đã mở","Chưa mở M6",IF(AND(SUMIFS($M$6:$M$47,$A$6:$A$47,"SF36")=1),"Có thể bắt đầu","Chờ task trước")))</x:f>
        <x:v>Chưa mở M6</x:v>
      </x:c>
    </x:row>
    <x:row r="43" ht="15" customHeight="1">
      <x:c r="A43" s="3" t="s">
        <x:v>188</x:v>
      </x:c>
      <x:c r="B43" s="3" t="s">
        <x:v>45</x:v>
      </x:c>
      <x:c r="C43" s="5" t="s">
        <x:v>14</x:v>
      </x:c>
      <x:c r="D43" s="5" t="s">
        <x:v>18</x:v>
      </x:c>
      <x:c r="E43" s="3" t="s">
        <x:v>189</x:v>
      </x:c>
      <x:c r="F43" s="3" t="s">
        <x:v>185</x:v>
      </x:c>
      <x:c r="G43" s="3" t="s">
        <x:v>190</x:v>
      </x:c>
      <x:c r="H43" s="6"/>
      <x:c r="I43" s="5" t="s">
        <x:v>2</x:v>
      </x:c>
      <x:c r="J43" s="5" t="s">
        <x:v>67</x:v>
      </x:c>
      <x:c r="K43" s="5"/>
      <x:c r="L43" s="5"/>
      <x:c r="M43" s="3">
        <x:f t="shared" si="0"/>
        <x:v>0</x:v>
      </x:c>
      <x:c r="N43" s="3" t="str">
        <x:f>IF(M43=1,"Xong",IF(Team!$B$5&lt;&gt;"Đã mở","Chưa mở M6",IF(AND(SUMIFS($M$6:$M$47,$A$6:$A$47,"SF37")=1),"Có thể bắt đầu","Chờ task trước")))</x:f>
        <x:v>Chưa mở M6</x:v>
      </x:c>
    </x:row>
    <x:row r="44" ht="15" customHeight="1">
      <x:c r="A44" s="4" t="s">
        <x:v>191</x:v>
      </x:c>
      <x:c r="B44" s="4" t="s">
        <x:v>45</x:v>
      </x:c>
      <x:c r="C44" s="5" t="s">
        <x:v>16</x:v>
      </x:c>
      <x:c r="D44" s="5" t="s">
        <x:v>20</x:v>
      </x:c>
      <x:c r="E44" s="4" t="s">
        <x:v>192</x:v>
      </x:c>
      <x:c r="F44" s="4" t="s">
        <x:v>185</x:v>
      </x:c>
      <x:c r="G44" s="4" t="s">
        <x:v>193</x:v>
      </x:c>
      <x:c r="H44" s="6"/>
      <x:c r="I44" s="5" t="s">
        <x:v>2</x:v>
      </x:c>
      <x:c r="J44" s="5" t="s">
        <x:v>67</x:v>
      </x:c>
      <x:c r="K44" s="5"/>
      <x:c r="L44" s="5"/>
      <x:c r="M44" s="4">
        <x:f t="shared" si="0"/>
        <x:v>0</x:v>
      </x:c>
      <x:c r="N44" s="4" t="str">
        <x:f>IF(M44=1,"Xong",IF(Team!$B$5&lt;&gt;"Đã mở","Chưa mở M6",IF(AND(SUMIFS($M$6:$M$47,$A$6:$A$47,"SF37")=1),"Có thể bắt đầu","Chờ task trước")))</x:f>
        <x:v>Chưa mở M6</x:v>
      </x:c>
    </x:row>
    <x:row r="45" ht="15" customHeight="1">
      <x:c r="A45" s="3" t="s">
        <x:v>194</x:v>
      </x:c>
      <x:c r="B45" s="3" t="s">
        <x:v>45</x:v>
      </x:c>
      <x:c r="C45" s="5" t="s">
        <x:v>18</x:v>
      </x:c>
      <x:c r="D45" s="5" t="s">
        <x:v>14</x:v>
      </x:c>
      <x:c r="E45" s="3" t="s">
        <x:v>195</x:v>
      </x:c>
      <x:c r="F45" s="3" t="s">
        <x:v>196</x:v>
      </x:c>
      <x:c r="G45" s="3" t="s">
        <x:v>197</x:v>
      </x:c>
      <x:c r="H45" s="6"/>
      <x:c r="I45" s="5" t="s">
        <x:v>2</x:v>
      </x:c>
      <x:c r="J45" s="5" t="s">
        <x:v>67</x:v>
      </x:c>
      <x:c r="K45" s="5"/>
      <x:c r="L45" s="5"/>
      <x:c r="M45" s="3">
        <x:f t="shared" si="0"/>
        <x:v>0</x:v>
      </x:c>
      <x:c r="N45" s="3" t="str">
        <x:f>IF(M45=1,"Xong",IF(Team!$B$5&lt;&gt;"Đã mở","Chưa mở M6",IF(AND(SUMIFS($M$6:$M$47,$A$6:$A$47,"SF37")=1,SUMIFS($M$6:$M$47,$A$6:$A$47,"SF38")=1),"Có thể bắt đầu","Chờ task trước")))</x:f>
        <x:v>Chưa mở M6</x:v>
      </x:c>
    </x:row>
    <x:row r="46" ht="15" customHeight="1">
      <x:c r="A46" s="4" t="s">
        <x:v>198</x:v>
      </x:c>
      <x:c r="B46" s="4" t="s">
        <x:v>45</x:v>
      </x:c>
      <x:c r="C46" s="5" t="s">
        <x:v>20</x:v>
      </x:c>
      <x:c r="D46" s="5" t="s">
        <x:v>16</x:v>
      </x:c>
      <x:c r="E46" s="4" t="s">
        <x:v>199</x:v>
      </x:c>
      <x:c r="F46" s="4" t="s">
        <x:v>200</x:v>
      </x:c>
      <x:c r="G46" s="4" t="s">
        <x:v>201</x:v>
      </x:c>
      <x:c r="H46" s="6"/>
      <x:c r="I46" s="5" t="s">
        <x:v>2</x:v>
      </x:c>
      <x:c r="J46" s="5" t="s">
        <x:v>67</x:v>
      </x:c>
      <x:c r="K46" s="5"/>
      <x:c r="L46" s="5"/>
      <x:c r="M46" s="4">
        <x:f t="shared" si="0"/>
        <x:v>0</x:v>
      </x:c>
      <x:c r="N46" s="4" t="str">
        <x:f>IF(M46=1,"Xong",IF(Team!$B$5&lt;&gt;"Đã mở","Chưa mở M6",IF(AND(SUMIFS($M$6:$M$47,$A$6:$A$47,"SF39")=1,SUMIFS($M$6:$M$47,$A$6:$A$47,"SF40")=1),"Có thể bắt đầu","Chờ task trước")))</x:f>
        <x:v>Chưa mở M6</x:v>
      </x:c>
    </x:row>
    <x:row r="47" ht="24" customHeight="1">
      <x:c r="A47" s="3" t="s">
        <x:v>202</x:v>
      </x:c>
      <x:c r="B47" s="3" t="s">
        <x:v>45</x:v>
      </x:c>
      <x:c r="C47" s="5" t="s">
        <x:v>22</x:v>
      </x:c>
      <x:c r="D47" s="5" t="s">
        <x:v>12</x:v>
      </x:c>
      <x:c r="E47" s="3" t="s">
        <x:v>203</x:v>
      </x:c>
      <x:c r="F47" s="3" t="s">
        <x:v>204</x:v>
      </x:c>
      <x:c r="G47" s="3" t="s">
        <x:v>205</x:v>
      </x:c>
      <x:c r="H47" s="6"/>
      <x:c r="I47" s="5" t="s">
        <x:v>2</x:v>
      </x:c>
      <x:c r="J47" s="5" t="s">
        <x:v>67</x:v>
      </x:c>
      <x:c r="K47" s="5"/>
      <x:c r="L47" s="5"/>
      <x:c r="M47" s="3">
        <x:f t="shared" si="0"/>
        <x:v>0</x:v>
      </x:c>
      <x:c r="N47" s="3" t="str">
        <x:f>IF(M47=1,"Xong",IF(Team!$B$5&lt;&gt;"Đã mở","Chưa mở M6",IF(AND(SUMIFS($M$6:$M$47,$A$6:$A$47,"SF38")=1,SUMIFS($M$6:$M$47,$A$6:$A$47,"SF41")=1),"Có thể bắt đầu","Chờ task trước")))</x:f>
        <x:v>Chưa mở M6</x:v>
      </x:c>
    </x:row>
    <x:row r="48" ht="46" customHeight="1">
      <x:c r="A48" s="15" t="str">
        <x:v>SF43</x:v>
      </x:c>
      <x:c r="B48" s="15" t="str">
        <x:v>G2.1</x:v>
      </x:c>
      <x:c r="C48" s="17" t="str">
        <x:v>TV1</x:v>
      </x:c>
      <x:c r="D48" s="17" t="str">
        <x:v>TV6</x:v>
      </x:c>
      <x:c r="E48" s="15" t="str">
        <x:v>Chốt dữ liệu lớp và suất trưa</x:v>
      </x:c>
      <x:c r="F48" s="15" t="str">
        <x:v>Kế hoạch G2 duyệt</x:v>
      </x:c>
      <x:c r="G48" s="15" t="str">
        <x:v>Lớp 30 học sinh: chặn -1 và 31 suất; null khác 0; đổi sĩ số không sửa ngày đã chốt.</x:v>
      </x:c>
      <x:c r="H48" s="18"/>
      <x:c r="I48" s="17" t="str">
        <x:v>Chưa làm</x:v>
      </x:c>
      <x:c r="J48" s="17" t="str">
        <x:v>Chưa</x:v>
      </x:c>
      <x:c r="K48" s="17"/>
      <x:c r="L48" s="17"/>
      <x:c r="M48" s="15" t="n">
        <x:f>IF(AND(I48="Hoàn tất",J48="Đạt",K48&lt;&gt;"",C48&lt;&gt;D48,TRUE),1,0)</x:f>
        <x:v>0</x:v>
      </x:c>
      <x:c r="N48" s="15" t="str">
        <x:f>IF(M48=1,"Xong",IF(TRUE,"Có thể bắt đầu","Chờ điều kiện"))</x:f>
        <x:v>Có thể bắt đầu</x:v>
      </x:c>
    </x:row>
    <x:row r="49" ht="46" customHeight="1">
      <x:c r="A49" s="15" t="str">
        <x:v>SF44</x:v>
      </x:c>
      <x:c r="B49" s="15" t="str">
        <x:v>G2.1</x:v>
      </x:c>
      <x:c r="C49" s="17" t="str">
        <x:v>TV2</x:v>
      </x:c>
      <x:c r="D49" s="17" t="str">
        <x:v>TV4</x:v>
      </x:c>
      <x:c r="E49" s="15" t="str">
        <x:v>API lớp học</x:v>
      </x:c>
      <x:c r="F49" s="15" t="str">
        <x:v>SF43</x:v>
      </x:c>
      <x:c r="G49" s="15" t="str">
        <x:v>Manager tạo/sửa được; viewer chỉ đọc; mã trùng bị từ chối; lớp ngừng dùng vẫn còn lịch sử.</x:v>
      </x:c>
      <x:c r="H49" s="18"/>
      <x:c r="I49" s="17" t="str">
        <x:v>Chưa làm</x:v>
      </x:c>
      <x:c r="J49" s="17" t="str">
        <x:v>Chưa</x:v>
      </x:c>
      <x:c r="K49" s="17"/>
      <x:c r="L49" s="17"/>
      <x:c r="M49" s="15" t="n">
        <x:f>IF(AND(I49="Hoàn tất",J49="Đạt",K49&lt;&gt;"",C49&lt;&gt;D49,AND($M$48=1)),1,0)</x:f>
        <x:v>0</x:v>
      </x:c>
      <x:c r="N49" s="15" t="str">
        <x:f>IF(M49=1,"Xong",IF(AND($M$48=1),"Có thể bắt đầu","Chờ điều kiện"))</x:f>
        <x:v>Chờ điều kiện</x:v>
      </x:c>
    </x:row>
    <x:row r="50" ht="46" customHeight="1">
      <x:c r="A50" s="15" t="str">
        <x:v>SF45</x:v>
      </x:c>
      <x:c r="B50" s="15" t="str">
        <x:v>G2.1</x:v>
      </x:c>
      <x:c r="C50" s="17" t="str">
        <x:v>TV3</x:v>
      </x:c>
      <x:c r="D50" s="17" t="str">
        <x:v>TV5</x:v>
      </x:c>
      <x:c r="E50" s="15" t="str">
        <x:v>Giao diện lớp học</x:v>
      </x:c>
      <x:c r="F50" s="15" t="str">
        <x:v>SF44</x:v>
      </x:c>
      <x:c r="G50" s="15" t="str">
        <x:v>Tạo lớp, reload vẫn còn; viewer không có thao tác ghi; lỗi API hiện đúng trường.</x:v>
      </x:c>
      <x:c r="H50" s="18"/>
      <x:c r="I50" s="17" t="str">
        <x:v>Chưa làm</x:v>
      </x:c>
      <x:c r="J50" s="17" t="str">
        <x:v>Chưa</x:v>
      </x:c>
      <x:c r="K50" s="17"/>
      <x:c r="L50" s="17"/>
      <x:c r="M50" s="15" t="n">
        <x:f>IF(AND(I50="Hoàn tất",J50="Đạt",K50&lt;&gt;"",C50&lt;&gt;D50,AND($M$49=1)),1,0)</x:f>
        <x:v>0</x:v>
      </x:c>
      <x:c r="N50" s="15" t="str">
        <x:f>IF(M50=1,"Xong",IF(AND($M$49=1),"Có thể bắt đầu","Chờ điều kiện"))</x:f>
        <x:v>Chờ điều kiện</x:v>
      </x:c>
    </x:row>
    <x:row r="51" ht="46" customHeight="1">
      <x:c r="A51" s="15" t="str">
        <x:v>SF46</x:v>
      </x:c>
      <x:c r="B51" s="15" t="str">
        <x:v>G2.1</x:v>
      </x:c>
      <x:c r="C51" s="17" t="str">
        <x:v>TV4</x:v>
      </x:c>
      <x:c r="D51" s="17" t="str">
        <x:v>TV2</x:v>
      </x:c>
      <x:c r="E51" s="15" t="str">
        <x:v>API suất ăn theo ngày</x:v>
      </x:c>
      <x:c r="F51" s="15" t="str">
        <x:v>SF43, SF44</x:v>
      </x:c>
      <x:c r="G51" s="15" t="str">
        <x:v>Lớp thiếu dữ liệu chặn chốt; không ghi trùng lớp/ngày; cập nhật phiên bản cũ trả 409.</x:v>
      </x:c>
      <x:c r="H51" s="18"/>
      <x:c r="I51" s="17" t="str">
        <x:v>Chưa làm</x:v>
      </x:c>
      <x:c r="J51" s="17" t="str">
        <x:v>Chưa</x:v>
      </x:c>
      <x:c r="K51" s="17"/>
      <x:c r="L51" s="17"/>
      <x:c r="M51" s="15" t="n">
        <x:f>IF(AND(I51="Hoàn tất",J51="Đạt",K51&lt;&gt;"",C51&lt;&gt;D51,AND($M$48=1,$M$49=1)),1,0)</x:f>
        <x:v>0</x:v>
      </x:c>
      <x:c r="N51" s="15" t="str">
        <x:f>IF(M51=1,"Xong",IF(AND($M$48=1,$M$49=1),"Có thể bắt đầu","Chờ điều kiện"))</x:f>
        <x:v>Chờ điều kiện</x:v>
      </x:c>
    </x:row>
    <x:row r="52" ht="46" customHeight="1">
      <x:c r="A52" s="15" t="str">
        <x:v>SF47</x:v>
      </x:c>
      <x:c r="B52" s="15" t="str">
        <x:v>G2.1</x:v>
      </x:c>
      <x:c r="C52" s="17" t="str">
        <x:v>TV5</x:v>
      </x:c>
      <x:c r="D52" s="17" t="str">
        <x:v>TV3</x:v>
      </x:c>
      <x:c r="E52" s="15" t="str">
        <x:v>Bảng nhập suất toàn trường</x:v>
      </x:c>
      <x:c r="F52" s="15" t="str">
        <x:v>SF45, SF46</x:v>
      </x:c>
      <x:c r="G52" s="15" t="str">
        <x:v>30 + 28 + 5 = 63; lớp thứ ba chưa nhập phải báo thiếu; nhập 0 có ý nghĩa nghỉ ăn.</x:v>
      </x:c>
      <x:c r="H52" s="18"/>
      <x:c r="I52" s="17" t="str">
        <x:v>Chưa làm</x:v>
      </x:c>
      <x:c r="J52" s="17" t="str">
        <x:v>Chưa</x:v>
      </x:c>
      <x:c r="K52" s="17"/>
      <x:c r="L52" s="17"/>
      <x:c r="M52" s="15" t="n">
        <x:f>IF(AND(I52="Hoàn tất",J52="Đạt",K52&lt;&gt;"",C52&lt;&gt;D52,AND($M$50=1,$M$51=1)),1,0)</x:f>
        <x:v>0</x:v>
      </x:c>
      <x:c r="N52" s="15" t="str">
        <x:f>IF(M52=1,"Xong",IF(AND($M$50=1,$M$51=1),"Có thể bắt đầu","Chờ điều kiện"))</x:f>
        <x:v>Chờ điều kiện</x:v>
      </x:c>
    </x:row>
    <x:row r="53" ht="46" customHeight="1">
      <x:c r="A53" s="15" t="str">
        <x:v>SF48</x:v>
      </x:c>
      <x:c r="B53" s="15" t="str">
        <x:v>G2.1</x:v>
      </x:c>
      <x:c r="C53" s="17" t="str">
        <x:v>TV6</x:v>
      </x:c>
      <x:c r="D53" s="17" t="str">
        <x:v>TV1</x:v>
      </x:c>
      <x:c r="E53" s="15" t="str">
        <x:v>Nghiệm thu lớp và suất</x:v>
      </x:c>
      <x:c r="F53" s="15" t="str">
        <x:v>SF45, SF46, SF47</x:v>
      </x:c>
      <x:c r="G53" s="15" t="str">
        <x:v>AC23–AC27 đạt trên máy thứ hai; không tự đánh dấu reviewer của task khác.</x:v>
      </x:c>
      <x:c r="H53" s="18"/>
      <x:c r="I53" s="17" t="str">
        <x:v>Chưa làm</x:v>
      </x:c>
      <x:c r="J53" s="17" t="str">
        <x:v>Chưa</x:v>
      </x:c>
      <x:c r="K53" s="17"/>
      <x:c r="L53" s="17"/>
      <x:c r="M53" s="15" t="n">
        <x:f>IF(AND(I53="Hoàn tất",J53="Đạt",K53&lt;&gt;"",C53&lt;&gt;D53,AND($M$50=1,$M$51=1,$M$52=1,COUNTIFS('Nghiem thu'!$B$28:$B$52,"G2.1",'Nghiem thu'!$J$28:$J$52,1)=5)),1,0)</x:f>
        <x:v>0</x:v>
      </x:c>
      <x:c r="N53" s="15" t="str">
        <x:f>IF(M53=1,"Xong",IF(AND($M$50=1,$M$51=1,$M$52=1,COUNTIFS('Nghiem thu'!$B$28:$B$52,"G2.1",'Nghiem thu'!$J$28:$J$52,1)=5),"Có thể bắt đầu","Chờ điều kiện"))</x:f>
        <x:v>Chờ điều kiện</x:v>
      </x:c>
    </x:row>
    <x:row r="54" ht="46" customHeight="1">
      <x:c r="A54" s="15" t="str">
        <x:v>SF49</x:v>
      </x:c>
      <x:c r="B54" s="15" t="str">
        <x:v>G2.2</x:v>
      </x:c>
      <x:c r="C54" s="17" t="str">
        <x:v>TV1</x:v>
      </x:c>
      <x:c r="D54" s="17" t="str">
        <x:v>TV6</x:v>
      </x:c>
      <x:c r="E54" s="15" t="str">
        <x:v>Chốt model món và thực đơn</x:v>
      </x:c>
      <x:c r="F54" s="15" t="str">
        <x:v>SF48</x:v>
      </x:c>
      <x:c r="G54" s="15" t="str">
        <x:v>Cùng food không lặp trong một công thức; dữ liệu lịch sử độc lập công thức hiện hành.</x:v>
      </x:c>
      <x:c r="H54" s="18"/>
      <x:c r="I54" s="17" t="str">
        <x:v>Chưa làm</x:v>
      </x:c>
      <x:c r="J54" s="17" t="str">
        <x:v>Chưa</x:v>
      </x:c>
      <x:c r="K54" s="17"/>
      <x:c r="L54" s="17"/>
      <x:c r="M54" s="15" t="n">
        <x:f>IF(AND(I54="Hoàn tất",J54="Đạt",K54&lt;&gt;"",C54&lt;&gt;D54,AND($M$53=1,COUNTIFS('Nghiem thu'!$B$28:$B$52,"G2.1",'Nghiem thu'!$J$28:$J$52,1)=5)),1,0)</x:f>
        <x:v>0</x:v>
      </x:c>
      <x:c r="N54" s="15" t="str">
        <x:f>IF(M54=1,"Xong",IF(AND($M$53=1,COUNTIFS('Nghiem thu'!$B$28:$B$52,"G2.1",'Nghiem thu'!$J$28:$J$52,1)=5),"Có thể bắt đầu","Chờ điều kiện"))</x:f>
        <x:v>Chờ điều kiện</x:v>
      </x:c>
    </x:row>
    <x:row r="55" ht="46" customHeight="1">
      <x:c r="A55" s="15" t="str">
        <x:v>SF50</x:v>
      </x:c>
      <x:c r="B55" s="15" t="str">
        <x:v>G2.2</x:v>
      </x:c>
      <x:c r="C55" s="17" t="str">
        <x:v>TV2</x:v>
      </x:c>
      <x:c r="D55" s="17" t="str">
        <x:v>TV4</x:v>
      </x:c>
      <x:c r="E55" s="15" t="str">
        <x:v>API món và công thức</x:v>
      </x:c>
      <x:c r="F55" s="15" t="str">
        <x:v>SF49</x:v>
      </x:c>
      <x:c r="G55" s="15" t="str">
        <x:v>60 g thành 0.060 kg; chặn số âm, NaN, đơn vị sai và kg sang lít không có quy tắc.</x:v>
      </x:c>
      <x:c r="H55" s="18"/>
      <x:c r="I55" s="17" t="str">
        <x:v>Chưa làm</x:v>
      </x:c>
      <x:c r="J55" s="17" t="str">
        <x:v>Chưa</x:v>
      </x:c>
      <x:c r="K55" s="17"/>
      <x:c r="L55" s="17"/>
      <x:c r="M55" s="15" t="n">
        <x:f>IF(AND(I55="Hoàn tất",J55="Đạt",K55&lt;&gt;"",C55&lt;&gt;D55,AND($M$54=1)),1,0)</x:f>
        <x:v>0</x:v>
      </x:c>
      <x:c r="N55" s="15" t="str">
        <x:f>IF(M55=1,"Xong",IF(AND($M$54=1),"Có thể bắt đầu","Chờ điều kiện"))</x:f>
        <x:v>Chờ điều kiện</x:v>
      </x:c>
    </x:row>
    <x:row r="56" ht="46" customHeight="1">
      <x:c r="A56" s="15" t="str">
        <x:v>SF51</x:v>
      </x:c>
      <x:c r="B56" s="15" t="str">
        <x:v>G2.2</x:v>
      </x:c>
      <x:c r="C56" s="17" t="str">
        <x:v>TV3</x:v>
      </x:c>
      <x:c r="D56" s="17" t="str">
        <x:v>TV5</x:v>
      </x:c>
      <x:c r="E56" s="15" t="str">
        <x:v>Giao diện công thức món</x:v>
      </x:c>
      <x:c r="F56" s="15" t="str">
        <x:v>SF50</x:v>
      </x:c>
      <x:c r="G56" s="15" t="str">
        <x:v>Hai dòng trùng food bị báo lỗi; gửi sai dữ liệu không mất toàn bộ phần đang nhập.</x:v>
      </x:c>
      <x:c r="H56" s="18"/>
      <x:c r="I56" s="17" t="str">
        <x:v>Chưa làm</x:v>
      </x:c>
      <x:c r="J56" s="17" t="str">
        <x:v>Chưa</x:v>
      </x:c>
      <x:c r="K56" s="17"/>
      <x:c r="L56" s="17"/>
      <x:c r="M56" s="15" t="n">
        <x:f>IF(AND(I56="Hoàn tất",J56="Đạt",K56&lt;&gt;"",C56&lt;&gt;D56,AND($M$55=1)),1,0)</x:f>
        <x:v>0</x:v>
      </x:c>
      <x:c r="N56" s="15" t="str">
        <x:f>IF(M56=1,"Xong",IF(AND($M$55=1),"Có thể bắt đầu","Chờ điều kiện"))</x:f>
        <x:v>Chờ điều kiện</x:v>
      </x:c>
    </x:row>
    <x:row r="57" ht="46" customHeight="1">
      <x:c r="A57" s="15" t="str">
        <x:v>SF52</x:v>
      </x:c>
      <x:c r="B57" s="15" t="str">
        <x:v>G2.2</x:v>
      </x:c>
      <x:c r="C57" s="17" t="str">
        <x:v>TV4</x:v>
      </x:c>
      <x:c r="D57" s="17" t="str">
        <x:v>TV2</x:v>
      </x:c>
      <x:c r="E57" s="15" t="str">
        <x:v>API thực đơn trưa</x:v>
      </x:c>
      <x:c r="F57" s="15" t="str">
        <x:v>SF49, SF50</x:v>
      </x:c>
      <x:c r="G57" s="15" t="str">
        <x:v>Sửa công thức sau chốt không đổi lượng cũ; sao chép tạo nháp độc lập; không chốt ngày thiếu món.</x:v>
      </x:c>
      <x:c r="H57" s="18"/>
      <x:c r="I57" s="17" t="str">
        <x:v>Chưa làm</x:v>
      </x:c>
      <x:c r="J57" s="17" t="str">
        <x:v>Chưa</x:v>
      </x:c>
      <x:c r="K57" s="17"/>
      <x:c r="L57" s="17"/>
      <x:c r="M57" s="15" t="n">
        <x:f>IF(AND(I57="Hoàn tất",J57="Đạt",K57&lt;&gt;"",C57&lt;&gt;D57,AND($M$54=1,$M$55=1)),1,0)</x:f>
        <x:v>0</x:v>
      </x:c>
      <x:c r="N57" s="15" t="str">
        <x:f>IF(M57=1,"Xong",IF(AND($M$54=1,$M$55=1),"Có thể bắt đầu","Chờ điều kiện"))</x:f>
        <x:v>Chờ điều kiện</x:v>
      </x:c>
    </x:row>
    <x:row r="58" ht="46" customHeight="1">
      <x:c r="A58" s="15" t="str">
        <x:v>SF53</x:v>
      </x:c>
      <x:c r="B58" s="15" t="str">
        <x:v>G2.2</x:v>
      </x:c>
      <x:c r="C58" s="17" t="str">
        <x:v>TV5</x:v>
      </x:c>
      <x:c r="D58" s="17" t="str">
        <x:v>TV3</x:v>
      </x:c>
      <x:c r="E58" s="15" t="str">
        <x:v>Giao diện thực đơn tuần</x:v>
      </x:c>
      <x:c r="F58" s="15" t="str">
        <x:v>SF51, SF52</x:v>
      </x:c>
      <x:c r="G58" s="15" t="str">
        <x:v>Ngày có thực đơn và ngày nghỉ hiển thị riêng; xem được phiên bản đã chốt.</x:v>
      </x:c>
      <x:c r="H58" s="18"/>
      <x:c r="I58" s="17" t="str">
        <x:v>Chưa làm</x:v>
      </x:c>
      <x:c r="J58" s="17" t="str">
        <x:v>Chưa</x:v>
      </x:c>
      <x:c r="K58" s="17"/>
      <x:c r="L58" s="17"/>
      <x:c r="M58" s="15" t="n">
        <x:f>IF(AND(I58="Hoàn tất",J58="Đạt",K58&lt;&gt;"",C58&lt;&gt;D58,AND($M$56=1,$M$57=1)),1,0)</x:f>
        <x:v>0</x:v>
      </x:c>
      <x:c r="N58" s="15" t="str">
        <x:f>IF(M58=1,"Xong",IF(AND($M$56=1,$M$57=1),"Có thể bắt đầu","Chờ điều kiện"))</x:f>
        <x:v>Chờ điều kiện</x:v>
      </x:c>
    </x:row>
    <x:row r="59" ht="46" customHeight="1">
      <x:c r="A59" s="15" t="str">
        <x:v>SF54</x:v>
      </x:c>
      <x:c r="B59" s="15" t="str">
        <x:v>G2.2</x:v>
      </x:c>
      <x:c r="C59" s="17" t="str">
        <x:v>TV6</x:v>
      </x:c>
      <x:c r="D59" s="17" t="str">
        <x:v>TV1</x:v>
      </x:c>
      <x:c r="E59" s="15" t="str">
        <x:v>Nghiệm thu món và thực đơn</x:v>
      </x:c>
      <x:c r="F59" s="15" t="str">
        <x:v>SF51, SF52, SF53</x:v>
      </x:c>
      <x:c r="G59" s="15" t="str">
        <x:v>AC28–AC32 đạt; tổng thịt của hai món là 70 g/suất, không phải hai nhu cầu mua riêng.</x:v>
      </x:c>
      <x:c r="H59" s="18"/>
      <x:c r="I59" s="17" t="str">
        <x:v>Chưa làm</x:v>
      </x:c>
      <x:c r="J59" s="17" t="str">
        <x:v>Chưa</x:v>
      </x:c>
      <x:c r="K59" s="17"/>
      <x:c r="L59" s="17"/>
      <x:c r="M59" s="15" t="n">
        <x:f>IF(AND(I59="Hoàn tất",J59="Đạt",K59&lt;&gt;"",C59&lt;&gt;D59,AND($M$56=1,$M$57=1,$M$58=1,COUNTIFS('Nghiem thu'!$B$28:$B$52,"G2.2",'Nghiem thu'!$J$28:$J$52,1)=5)),1,0)</x:f>
        <x:v>0</x:v>
      </x:c>
      <x:c r="N59" s="15" t="str">
        <x:f>IF(M59=1,"Xong",IF(AND($M$56=1,$M$57=1,$M$58=1,COUNTIFS('Nghiem thu'!$B$28:$B$52,"G2.2",'Nghiem thu'!$J$28:$J$52,1)=5),"Có thể bắt đầu","Chờ điều kiện"))</x:f>
        <x:v>Chờ điều kiện</x:v>
      </x:c>
    </x:row>
    <x:row r="60" ht="46" customHeight="1">
      <x:c r="A60" s="15" t="str">
        <x:v>SF55</x:v>
      </x:c>
      <x:c r="B60" s="15" t="str">
        <x:v>G2.3</x:v>
      </x:c>
      <x:c r="C60" s="17" t="str">
        <x:v>TV1</x:v>
      </x:c>
      <x:c r="D60" s="17" t="str">
        <x:v>TV6</x:v>
      </x:c>
      <x:c r="E60" s="15" t="str">
        <x:v>Chốt nhu cầu và phân bổ tồn</x:v>
      </x:c>
      <x:c r="F60" s="15" t="str">
        <x:v>SF54</x:v>
      </x:c>
      <x:c r="G60" s="15" t="str">
        <x:v>Ví dụ 300 × 0.070 + 1 - 5 - 4 = 13 kg; chốt luồng nhận hàng không tính đôi.</x:v>
      </x:c>
      <x:c r="H60" s="18"/>
      <x:c r="I60" s="17" t="str">
        <x:v>Chưa làm</x:v>
      </x:c>
      <x:c r="J60" s="17" t="str">
        <x:v>Chưa</x:v>
      </x:c>
      <x:c r="K60" s="17"/>
      <x:c r="L60" s="17"/>
      <x:c r="M60" s="15" t="n">
        <x:f>IF(AND(I60="Hoàn tất",J60="Đạt",K60&lt;&gt;"",C60&lt;&gt;D60,AND($M$59=1,COUNTIFS('Nghiem thu'!$B$28:$B$52,"G2.2",'Nghiem thu'!$J$28:$J$52,1)=5,Team!$B$34="Đạt")),1,0)</x:f>
        <x:v>0</x:v>
      </x:c>
      <x:c r="N60" s="15" t="str">
        <x:f>IF(M60=1,"Xong",IF(AND($M$59=1,COUNTIFS('Nghiem thu'!$B$28:$B$52,"G2.2",'Nghiem thu'!$J$28:$J$52,1)=5,Team!$B$34="Đạt"),"Có thể bắt đầu","Chờ điều kiện"))</x:f>
        <x:v>Chờ điều kiện</x:v>
      </x:c>
    </x:row>
    <x:row r="61" ht="46" customHeight="1">
      <x:c r="A61" s="15" t="str">
        <x:v>SF56</x:v>
      </x:c>
      <x:c r="B61" s="15" t="str">
        <x:v>G2.3</x:v>
      </x:c>
      <x:c r="C61" s="17" t="str">
        <x:v>TV2</x:v>
      </x:c>
      <x:c r="D61" s="17" t="str">
        <x:v>TV4</x:v>
      </x:c>
      <x:c r="E61" s="15" t="str">
        <x:v>Bộ tính nguyên liệu</x:v>
      </x:c>
      <x:c r="F61" s="15" t="str">
        <x:v>SF55</x:v>
      </x:c>
      <x:c r="G61" s="15" t="str">
        <x:v>Kết quả Decimal tái lập được; trả phần đóng góp từng món; 0 suất không chia cho 0.</x:v>
      </x:c>
      <x:c r="H61" s="18"/>
      <x:c r="I61" s="17" t="str">
        <x:v>Chưa làm</x:v>
      </x:c>
      <x:c r="J61" s="17" t="str">
        <x:v>Chưa</x:v>
      </x:c>
      <x:c r="K61" s="17"/>
      <x:c r="L61" s="17"/>
      <x:c r="M61" s="15" t="n">
        <x:f>IF(AND(I61="Hoàn tất",J61="Đạt",K61&lt;&gt;"",C61&lt;&gt;D61,AND($M$60=1,Team!$B$34="Đạt")),1,0)</x:f>
        <x:v>0</x:v>
      </x:c>
      <x:c r="N61" s="15" t="str">
        <x:f>IF(M61=1,"Xong",IF(AND($M$60=1,Team!$B$34="Đạt"),"Có thể bắt đầu","Chờ điều kiện"))</x:f>
        <x:v>Chờ điều kiện</x:v>
      </x:c>
    </x:row>
    <x:row r="62" ht="46" customHeight="1">
      <x:c r="A62" s="15" t="str">
        <x:v>SF57</x:v>
      </x:c>
      <x:c r="B62" s="15" t="str">
        <x:v>G2.3</x:v>
      </x:c>
      <x:c r="C62" s="17" t="str">
        <x:v>TV3</x:v>
      </x:c>
      <x:c r="D62" s="17" t="str">
        <x:v>TV5</x:v>
      </x:c>
      <x:c r="E62" s="15" t="str">
        <x:v>Màn hình nhu cầu</x:v>
      </x:c>
      <x:c r="F62" s="15" t="str">
        <x:v>SF56</x:v>
      </x:c>
      <x:c r="G62" s="15" t="str">
        <x:v>Hiện 21 kg từ 300 suất; bản mock chưa được tính nghiệm thu khi API thật chưa nối.</x:v>
      </x:c>
      <x:c r="H62" s="18"/>
      <x:c r="I62" s="17" t="str">
        <x:v>Chưa làm</x:v>
      </x:c>
      <x:c r="J62" s="17" t="str">
        <x:v>Chưa</x:v>
      </x:c>
      <x:c r="K62" s="17"/>
      <x:c r="L62" s="17"/>
      <x:c r="M62" s="15" t="n">
        <x:f>IF(AND(I62="Hoàn tất",J62="Đạt",K62&lt;&gt;"",C62&lt;&gt;D62,AND($M$61=1,Team!$B$34="Đạt")),1,0)</x:f>
        <x:v>0</x:v>
      </x:c>
      <x:c r="N62" s="15" t="str">
        <x:f>IF(M62=1,"Xong",IF(AND($M$61=1,Team!$B$34="Đạt"),"Có thể bắt đầu","Chờ điều kiện"))</x:f>
        <x:v>Chờ điều kiện</x:v>
      </x:c>
    </x:row>
    <x:row r="63" ht="46" customHeight="1">
      <x:c r="A63" s="15" t="str">
        <x:v>SF58</x:v>
      </x:c>
      <x:c r="B63" s="15" t="str">
        <x:v>G2.3</x:v>
      </x:c>
      <x:c r="C63" s="17" t="str">
        <x:v>TV4</x:v>
      </x:c>
      <x:c r="D63" s="17" t="str">
        <x:v>TV2</x:v>
      </x:c>
      <x:c r="E63" s="15" t="str">
        <x:v>API đề xuất mua và giữ hàng</x:v>
      </x:c>
      <x:c r="F63" s="15" t="str">
        <x:v>SF55, SF56</x:v>
      </x:c>
      <x:c r="G63" s="15" t="str">
        <x:v>Hai kế hoạch không giữ cùng một kg; tồn không giảm khi giữ; dữ liệu cũ trả 409.</x:v>
      </x:c>
      <x:c r="H63" s="18"/>
      <x:c r="I63" s="17" t="str">
        <x:v>Chưa làm</x:v>
      </x:c>
      <x:c r="J63" s="17" t="str">
        <x:v>Chưa</x:v>
      </x:c>
      <x:c r="K63" s="17"/>
      <x:c r="L63" s="17"/>
      <x:c r="M63" s="15" t="n">
        <x:f>IF(AND(I63="Hoàn tất",J63="Đạt",K63&lt;&gt;"",C63&lt;&gt;D63,AND($M$60=1,$M$61=1,Team!$B$34="Đạt")),1,0)</x:f>
        <x:v>0</x:v>
      </x:c>
      <x:c r="N63" s="15" t="str">
        <x:f>IF(M63=1,"Xong",IF(AND($M$60=1,$M$61=1,Team!$B$34="Đạt"),"Có thể bắt đầu","Chờ điều kiện"))</x:f>
        <x:v>Chờ điều kiện</x:v>
      </x:c>
    </x:row>
    <x:row r="64" ht="46" customHeight="1">
      <x:c r="A64" s="15" t="str">
        <x:v>SF59</x:v>
      </x:c>
      <x:c r="B64" s="15" t="str">
        <x:v>G2.3</x:v>
      </x:c>
      <x:c r="C64" s="17" t="str">
        <x:v>TV5</x:v>
      </x:c>
      <x:c r="D64" s="17" t="str">
        <x:v>TV3</x:v>
      </x:c>
      <x:c r="E64" s="15" t="str">
        <x:v>Điều chỉnh và chênh lệch đề xuất</x:v>
      </x:c>
      <x:c r="F64" s="15" t="str">
        <x:v>SF57, SF58</x:v>
      </x:c>
      <x:c r="G64" s="15" t="str">
        <x:v>Đổi 300 thành 280 suất hiện chênh lệch; đề xuất mua tối thiểu bằng 0.</x:v>
      </x:c>
      <x:c r="H64" s="18"/>
      <x:c r="I64" s="17" t="str">
        <x:v>Chưa làm</x:v>
      </x:c>
      <x:c r="J64" s="17" t="str">
        <x:v>Chưa</x:v>
      </x:c>
      <x:c r="K64" s="17"/>
      <x:c r="L64" s="17"/>
      <x:c r="M64" s="15" t="n">
        <x:f>IF(AND(I64="Hoàn tất",J64="Đạt",K64&lt;&gt;"",C64&lt;&gt;D64,AND($M$62=1,$M$63=1,Team!$B$34="Đạt")),1,0)</x:f>
        <x:v>0</x:v>
      </x:c>
      <x:c r="N64" s="15" t="str">
        <x:f>IF(M64=1,"Xong",IF(AND($M$62=1,$M$63=1,Team!$B$34="Đạt"),"Có thể bắt đầu","Chờ điều kiện"))</x:f>
        <x:v>Chờ điều kiện</x:v>
      </x:c>
    </x:row>
    <x:row r="65" ht="46" customHeight="1">
      <x:c r="A65" s="15" t="str">
        <x:v>SF60</x:v>
      </x:c>
      <x:c r="B65" s="15" t="str">
        <x:v>G2.3</x:v>
      </x:c>
      <x:c r="C65" s="17" t="str">
        <x:v>TV6</x:v>
      </x:c>
      <x:c r="D65" s="17" t="str">
        <x:v>TV1</x:v>
      </x:c>
      <x:c r="E65" s="15" t="str">
        <x:v>Nghiệm thu nhu cầu và chống trùng</x:v>
      </x:c>
      <x:c r="F65" s="15" t="str">
        <x:v>SF57, SF58, SF59</x:v>
      </x:c>
      <x:c r="G65" s="15" t="str">
        <x:v>AC33–AC37 đạt; nghiệm thu bổ sung nguồn đơn thật cùng SF66, không coi mock là tích hợp.</x:v>
      </x:c>
      <x:c r="H65" s="18"/>
      <x:c r="I65" s="17" t="str">
        <x:v>Chưa làm</x:v>
      </x:c>
      <x:c r="J65" s="17" t="str">
        <x:v>Chưa</x:v>
      </x:c>
      <x:c r="K65" s="17"/>
      <x:c r="L65" s="17"/>
      <x:c r="M65" s="15" t="n">
        <x:f>IF(AND(I65="Hoàn tất",J65="Đạt",K65&lt;&gt;"",C65&lt;&gt;D65,AND($M$62=1,$M$63=1,$M$64=1,COUNTIFS('Nghiem thu'!$B$28:$B$52,"G2.3",'Nghiem thu'!$J$28:$J$52,1)=5,Team!$B$34="Đạt")),1,0)</x:f>
        <x:v>0</x:v>
      </x:c>
      <x:c r="N65" s="15" t="str">
        <x:f>IF(M65=1,"Xong",IF(AND($M$62=1,$M$63=1,$M$64=1,COUNTIFS('Nghiem thu'!$B$28:$B$52,"G2.3",'Nghiem thu'!$J$28:$J$52,1)=5,Team!$B$34="Đạt"),"Có thể bắt đầu","Chờ điều kiện"))</x:f>
        <x:v>Chờ điều kiện</x:v>
      </x:c>
    </x:row>
    <x:row r="66" ht="46" customHeight="1">
      <x:c r="A66" s="15" t="str">
        <x:v>SF61</x:v>
      </x:c>
      <x:c r="B66" s="15" t="str">
        <x:v>G2.4</x:v>
      </x:c>
      <x:c r="C66" s="17" t="str">
        <x:v>TV1</x:v>
      </x:c>
      <x:c r="D66" s="17" t="str">
        <x:v>TV6</x:v>
      </x:c>
      <x:c r="E66" s="15" t="str">
        <x:v>Chốt model và trạng thái đơn đặt</x:v>
      </x:c>
      <x:c r="F66" s="15" t="str">
        <x:v>SF60</x:v>
      </x:c>
      <x:c r="G66" s="15" t="str">
        <x:v>Nháp → duyệt → xác nhận gửi → nhận một phần → hoàn tất; hủy/đóng thiếu có lý do.</x:v>
      </x:c>
      <x:c r="H66" s="18"/>
      <x:c r="I66" s="17" t="str">
        <x:v>Chưa làm</x:v>
      </x:c>
      <x:c r="J66" s="17" t="str">
        <x:v>Chưa</x:v>
      </x:c>
      <x:c r="K66" s="17"/>
      <x:c r="L66" s="17"/>
      <x:c r="M66" s="15" t="n">
        <x:f>IF(AND(I66="Hoàn tất",J66="Đạt",K66&lt;&gt;"",C66&lt;&gt;D66,AND($M$65=1,COUNTIFS('Nghiem thu'!$B$28:$B$52,"G2.3",'Nghiem thu'!$J$28:$J$52,1)=5,Team!$B$34="Đạt")),1,0)</x:f>
        <x:v>0</x:v>
      </x:c>
      <x:c r="N66" s="15" t="str">
        <x:f>IF(M66=1,"Xong",IF(AND($M$65=1,COUNTIFS('Nghiem thu'!$B$28:$B$52,"G2.3",'Nghiem thu'!$J$28:$J$52,1)=5,Team!$B$34="Đạt"),"Có thể bắt đầu","Chờ điều kiện"))</x:f>
        <x:v>Chờ điều kiện</x:v>
      </x:c>
    </x:row>
    <x:row r="67" ht="46" customHeight="1">
      <x:c r="A67" s="15" t="str">
        <x:v>SF62</x:v>
      </x:c>
      <x:c r="B67" s="15" t="str">
        <x:v>G2.4</x:v>
      </x:c>
      <x:c r="C67" s="17" t="str">
        <x:v>TV2</x:v>
      </x:c>
      <x:c r="D67" s="17" t="str">
        <x:v>TV4</x:v>
      </x:c>
      <x:c r="E67" s="15" t="str">
        <x:v>Nghiệp vụ đặt hàng</x:v>
      </x:c>
      <x:c r="F67" s="15" t="str">
        <x:v>SF61</x:v>
      </x:c>
      <x:c r="G67" s="15" t="str">
        <x:v>Hai lần duyệt cùng nhu cầu không sinh hai đơn có hiệu lực; không nhận vượt lượng còn lại.</x:v>
      </x:c>
      <x:c r="H67" s="18"/>
      <x:c r="I67" s="17" t="str">
        <x:v>Chưa làm</x:v>
      </x:c>
      <x:c r="J67" s="17" t="str">
        <x:v>Chưa</x:v>
      </x:c>
      <x:c r="K67" s="17"/>
      <x:c r="L67" s="17"/>
      <x:c r="M67" s="15" t="n">
        <x:f>IF(AND(I67="Hoàn tất",J67="Đạt",K67&lt;&gt;"",C67&lt;&gt;D67,AND($M$66=1,Team!$B$34="Đạt")),1,0)</x:f>
        <x:v>0</x:v>
      </x:c>
      <x:c r="N67" s="15" t="str">
        <x:f>IF(M67=1,"Xong",IF(AND($M$66=1,Team!$B$34="Đạt"),"Có thể bắt đầu","Chờ điều kiện"))</x:f>
        <x:v>Chờ điều kiện</x:v>
      </x:c>
    </x:row>
    <x:row r="68" ht="46" customHeight="1">
      <x:c r="A68" s="15" t="str">
        <x:v>SF63</x:v>
      </x:c>
      <x:c r="B68" s="15" t="str">
        <x:v>G2.4</x:v>
      </x:c>
      <x:c r="C68" s="17" t="str">
        <x:v>TV3</x:v>
      </x:c>
      <x:c r="D68" s="17" t="str">
        <x:v>TV5</x:v>
      </x:c>
      <x:c r="E68" s="15" t="str">
        <x:v>Giao diện đơn đặt</x:v>
      </x:c>
      <x:c r="F68" s="15" t="str">
        <x:v>SF62</x:v>
      </x:c>
      <x:c r="G68" s="15" t="str">
        <x:v>Tạo đơn chưa tự đánh dấu đã gửi; bản in có ngày cần giao, food, lượng và đơn vị.</x:v>
      </x:c>
      <x:c r="H68" s="18"/>
      <x:c r="I68" s="17" t="str">
        <x:v>Chưa làm</x:v>
      </x:c>
      <x:c r="J68" s="17" t="str">
        <x:v>Chưa</x:v>
      </x:c>
      <x:c r="K68" s="17"/>
      <x:c r="L68" s="17"/>
      <x:c r="M68" s="15" t="n">
        <x:f>IF(AND(I68="Hoàn tất",J68="Đạt",K68&lt;&gt;"",C68&lt;&gt;D68,AND($M$67=1,Team!$B$34="Đạt")),1,0)</x:f>
        <x:v>0</x:v>
      </x:c>
      <x:c r="N68" s="15" t="str">
        <x:f>IF(M68=1,"Xong",IF(AND($M$67=1,Team!$B$34="Đạt"),"Có thể bắt đầu","Chờ điều kiện"))</x:f>
        <x:v>Chờ điều kiện</x:v>
      </x:c>
    </x:row>
    <x:row r="69" ht="46" customHeight="1">
      <x:c r="A69" s="15" t="str">
        <x:v>SF64</x:v>
      </x:c>
      <x:c r="B69" s="15" t="str">
        <x:v>G2.4</x:v>
      </x:c>
      <x:c r="C69" s="17" t="str">
        <x:v>TV4</x:v>
      </x:c>
      <x:c r="D69" s="17" t="str">
        <x:v>TV2</x:v>
      </x:c>
      <x:c r="E69" s="15" t="str">
        <x:v>API đơn và phiếu nhập liên kết</x:v>
      </x:c>
      <x:c r="F69" s="15" t="str">
        <x:v>SF61, SF62</x:v>
      </x:c>
      <x:c r="G69" s="15" t="str">
        <x:v>Nháp nhận không tăng đã nhận; chốt nhận cập nhật kho/đơn/phân bổ cùng giao dịch, rollback nếu lỗi.</x:v>
      </x:c>
      <x:c r="H69" s="18"/>
      <x:c r="I69" s="17" t="str">
        <x:v>Chưa làm</x:v>
      </x:c>
      <x:c r="J69" s="17" t="str">
        <x:v>Chưa</x:v>
      </x:c>
      <x:c r="K69" s="17"/>
      <x:c r="L69" s="17"/>
      <x:c r="M69" s="15" t="n">
        <x:f>IF(AND(I69="Hoàn tất",J69="Đạt",K69&lt;&gt;"",C69&lt;&gt;D69,AND($M$66=1,$M$67=1,Team!$B$34="Đạt")),1,0)</x:f>
        <x:v>0</x:v>
      </x:c>
      <x:c r="N69" s="15" t="str">
        <x:f>IF(M69=1,"Xong",IF(AND($M$66=1,$M$67=1,Team!$B$34="Đạt"),"Có thể bắt đầu","Chờ điều kiện"))</x:f>
        <x:v>Chờ điều kiện</x:v>
      </x:c>
    </x:row>
    <x:row r="70" ht="46" customHeight="1">
      <x:c r="A70" s="15" t="str">
        <x:v>SF65</x:v>
      </x:c>
      <x:c r="B70" s="15" t="str">
        <x:v>G2.4</x:v>
      </x:c>
      <x:c r="C70" s="17" t="str">
        <x:v>TV5</x:v>
      </x:c>
      <x:c r="D70" s="17" t="str">
        <x:v>TV3</x:v>
      </x:c>
      <x:c r="E70" s="15" t="str">
        <x:v>Giao diện nhận hàng theo đơn</x:v>
      </x:c>
      <x:c r="F70" s="15" t="str">
        <x:v>SF63, SF64</x:v>
      </x:c>
      <x:c r="G70" s="15" t="str">
        <x:v>Đặt 13, nhận 10 còn 3; nhận thêm 3 hoàn tất; chặn 4 khi chỉ còn 3.</x:v>
      </x:c>
      <x:c r="H70" s="18"/>
      <x:c r="I70" s="17" t="str">
        <x:v>Chưa làm</x:v>
      </x:c>
      <x:c r="J70" s="17" t="str">
        <x:v>Chưa</x:v>
      </x:c>
      <x:c r="K70" s="17"/>
      <x:c r="L70" s="17"/>
      <x:c r="M70" s="15" t="n">
        <x:f>IF(AND(I70="Hoàn tất",J70="Đạt",K70&lt;&gt;"",C70&lt;&gt;D70,AND($M$68=1,$M$69=1,Team!$B$34="Đạt")),1,0)</x:f>
        <x:v>0</x:v>
      </x:c>
      <x:c r="N70" s="15" t="str">
        <x:f>IF(M70=1,"Xong",IF(AND($M$68=1,$M$69=1,Team!$B$34="Đạt"),"Có thể bắt đầu","Chờ điều kiện"))</x:f>
        <x:v>Chờ điều kiện</x:v>
      </x:c>
    </x:row>
    <x:row r="71" ht="46" customHeight="1">
      <x:c r="A71" s="15" t="str">
        <x:v>SF66</x:v>
      </x:c>
      <x:c r="B71" s="15" t="str">
        <x:v>G2.4</x:v>
      </x:c>
      <x:c r="C71" s="17" t="str">
        <x:v>TV6</x:v>
      </x:c>
      <x:c r="D71" s="17" t="str">
        <x:v>TV1</x:v>
      </x:c>
      <x:c r="E71" s="15" t="str">
        <x:v>Nghiệm thu đặt và nhận hàng</x:v>
      </x:c>
      <x:c r="F71" s="15" t="str">
        <x:v>SF63, SF64, SF65</x:v>
      </x:c>
      <x:c r="G71" s="15" t="str">
        <x:v>AC38–AC42 đạt; nhận 4 kg chuyển hàng đang chờ thành tồn giữ cho kế hoạch, không thành 8 kg.</x:v>
      </x:c>
      <x:c r="H71" s="18"/>
      <x:c r="I71" s="17" t="str">
        <x:v>Chưa làm</x:v>
      </x:c>
      <x:c r="J71" s="17" t="str">
        <x:v>Chưa</x:v>
      </x:c>
      <x:c r="K71" s="17"/>
      <x:c r="L71" s="17"/>
      <x:c r="M71" s="15" t="n">
        <x:f>IF(AND(I71="Hoàn tất",J71="Đạt",K71&lt;&gt;"",C71&lt;&gt;D71,AND($M$68=1,$M$69=1,$M$70=1,COUNTIFS('Nghiem thu'!$B$28:$B$52,"G2.4",'Nghiem thu'!$J$28:$J$52,1)=5,Team!$B$34="Đạt")),1,0)</x:f>
        <x:v>0</x:v>
      </x:c>
      <x:c r="N71" s="15" t="str">
        <x:f>IF(M71=1,"Xong",IF(AND($M$68=1,$M$69=1,$M$70=1,COUNTIFS('Nghiem thu'!$B$28:$B$52,"G2.4",'Nghiem thu'!$J$28:$J$52,1)=5,Team!$B$34="Đạt"),"Có thể bắt đầu","Chờ điều kiện"))</x:f>
        <x:v>Chờ điều kiện</x:v>
      </x:c>
    </x:row>
    <x:row r="72" ht="46" customHeight="1">
      <x:c r="A72" s="15" t="str">
        <x:v>SF67</x:v>
      </x:c>
      <x:c r="B72" s="15" t="str">
        <x:v>G2.5</x:v>
      </x:c>
      <x:c r="C72" s="17" t="str">
        <x:v>TV1</x:v>
      </x:c>
      <x:c r="D72" s="17" t="str">
        <x:v>TV6</x:v>
      </x:c>
      <x:c r="E72" s="15" t="str">
        <x:v>Chốt xuất theo ngày và đóng ngày</x:v>
      </x:c>
      <x:c r="F72" s="15" t="str">
        <x:v>SF66</x:v>
      </x:c>
      <x:c r="G72" s="15" t="str">
        <x:v>Xuất là cấp nguyên liệu cho bếp, không tự coi là lượng học sinh đã ăn; trả/hủy sau xuất để mốc sau.</x:v>
      </x:c>
      <x:c r="H72" s="18"/>
      <x:c r="I72" s="17" t="str">
        <x:v>Chưa làm</x:v>
      </x:c>
      <x:c r="J72" s="17" t="str">
        <x:v>Chưa</x:v>
      </x:c>
      <x:c r="K72" s="17"/>
      <x:c r="L72" s="17"/>
      <x:c r="M72" s="15" t="n">
        <x:f>IF(AND(I72="Hoàn tất",J72="Đạt",K72&lt;&gt;"",C72&lt;&gt;D72,AND($M$71=1,COUNTIFS('Nghiem thu'!$B$28:$B$52,"G2.4",'Nghiem thu'!$J$28:$J$52,1)=5,Team!$B$34="Đạt")),1,0)</x:f>
        <x:v>0</x:v>
      </x:c>
      <x:c r="N72" s="15" t="str">
        <x:f>IF(M72=1,"Xong",IF(AND($M$71=1,COUNTIFS('Nghiem thu'!$B$28:$B$52,"G2.4",'Nghiem thu'!$J$28:$J$52,1)=5,Team!$B$34="Đạt"),"Có thể bắt đầu","Chờ điều kiện"))</x:f>
        <x:v>Chờ điều kiện</x:v>
      </x:c>
    </x:row>
    <x:row r="73" ht="46" customHeight="1">
      <x:c r="A73" s="15" t="str">
        <x:v>SF68</x:v>
      </x:c>
      <x:c r="B73" s="15" t="str">
        <x:v>G2.5</x:v>
      </x:c>
      <x:c r="C73" s="17" t="str">
        <x:v>TV2</x:v>
      </x:c>
      <x:c r="D73" s="17" t="str">
        <x:v>TV4</x:v>
      </x:c>
      <x:c r="E73" s="15" t="str">
        <x:v>Nghiệp vụ xuất và chi phí ngày</x:v>
      </x:c>
      <x:c r="F73" s="15" t="str">
        <x:v>SF67</x:v>
      </x:c>
      <x:c r="G73" s="15" t="str">
        <x:v>Đã xuất 10, nhu cầu 13 chỉ đề xuất 3; chi phí dùng ledger lúc xuất; 0 suất trả null chi phí/suất.</x:v>
      </x:c>
      <x:c r="H73" s="18"/>
      <x:c r="I73" s="17" t="str">
        <x:v>Chưa làm</x:v>
      </x:c>
      <x:c r="J73" s="17" t="str">
        <x:v>Chưa</x:v>
      </x:c>
      <x:c r="K73" s="17"/>
      <x:c r="L73" s="17"/>
      <x:c r="M73" s="15" t="n">
        <x:f>IF(AND(I73="Hoàn tất",J73="Đạt",K73&lt;&gt;"",C73&lt;&gt;D73,AND($M$72=1,Team!$B$34="Đạt")),1,0)</x:f>
        <x:v>0</x:v>
      </x:c>
      <x:c r="N73" s="15" t="str">
        <x:f>IF(M73=1,"Xong",IF(AND($M$72=1,Team!$B$34="Đạt"),"Có thể bắt đầu","Chờ điều kiện"))</x:f>
        <x:v>Chờ điều kiện</x:v>
      </x:c>
    </x:row>
    <x:row r="74" ht="46" customHeight="1">
      <x:c r="A74" s="15" t="str">
        <x:v>SF69</x:v>
      </x:c>
      <x:c r="B74" s="15" t="str">
        <x:v>G2.5</x:v>
      </x:c>
      <x:c r="C74" s="17" t="str">
        <x:v>TV3</x:v>
      </x:c>
      <x:c r="D74" s="17" t="str">
        <x:v>TV5</x:v>
      </x:c>
      <x:c r="E74" s="15" t="str">
        <x:v>Tổng quan bữa trưa</x:v>
      </x:c>
      <x:c r="F74" s="15" t="str">
        <x:v>SF68</x:v>
      </x:c>
      <x:c r="G74" s="15" t="str">
        <x:v>Xem được nguồn từng con số; đổi giá nhập hôm sau không làm thay đổi chi phí ngày cũ.</x:v>
      </x:c>
      <x:c r="H74" s="18"/>
      <x:c r="I74" s="17" t="str">
        <x:v>Chưa làm</x:v>
      </x:c>
      <x:c r="J74" s="17" t="str">
        <x:v>Chưa</x:v>
      </x:c>
      <x:c r="K74" s="17"/>
      <x:c r="L74" s="17"/>
      <x:c r="M74" s="15" t="n">
        <x:f>IF(AND(I74="Hoàn tất",J74="Đạt",K74&lt;&gt;"",C74&lt;&gt;D74,AND($M$73=1,Team!$B$34="Đạt")),1,0)</x:f>
        <x:v>0</x:v>
      </x:c>
      <x:c r="N74" s="15" t="str">
        <x:f>IF(M74=1,"Xong",IF(AND($M$73=1,Team!$B$34="Đạt"),"Có thể bắt đầu","Chờ điều kiện"))</x:f>
        <x:v>Chờ điều kiện</x:v>
      </x:c>
    </x:row>
    <x:row r="75" ht="46" customHeight="1">
      <x:c r="A75" s="15" t="str">
        <x:v>SF70</x:v>
      </x:c>
      <x:c r="B75" s="15" t="str">
        <x:v>G2.5</x:v>
      </x:c>
      <x:c r="C75" s="17" t="str">
        <x:v>TV4</x:v>
      </x:c>
      <x:c r="D75" s="17" t="str">
        <x:v>TV2</x:v>
      </x:c>
      <x:c r="E75" s="15" t="str">
        <x:v>API báo cáo ngày và test tích hợp</x:v>
      </x:c>
      <x:c r="F75" s="15" t="str">
        <x:v>SF67, SF68</x:v>
      </x:c>
      <x:c r="G75" s="15" t="str">
        <x:v>API trả ngày chưa chốt rõ ràng; viewer không đóng ngày; giao dịch lỗi không để dữ liệu nửa vời.</x:v>
      </x:c>
      <x:c r="H75" s="18"/>
      <x:c r="I75" s="17" t="str">
        <x:v>Chưa làm</x:v>
      </x:c>
      <x:c r="J75" s="17" t="str">
        <x:v>Chưa</x:v>
      </x:c>
      <x:c r="K75" s="17"/>
      <x:c r="L75" s="17"/>
      <x:c r="M75" s="15" t="n">
        <x:f>IF(AND(I75="Hoàn tất",J75="Đạt",K75&lt;&gt;"",C75&lt;&gt;D75,AND($M$72=1,$M$73=1,Team!$B$34="Đạt")),1,0)</x:f>
        <x:v>0</x:v>
      </x:c>
      <x:c r="N75" s="15" t="str">
        <x:f>IF(M75=1,"Xong",IF(AND($M$72=1,$M$73=1,Team!$B$34="Đạt"),"Có thể bắt đầu","Chờ điều kiện"))</x:f>
        <x:v>Chờ điều kiện</x:v>
      </x:c>
    </x:row>
    <x:row r="76" ht="46" customHeight="1">
      <x:c r="A76" s="15" t="str">
        <x:v>SF71</x:v>
      </x:c>
      <x:c r="B76" s="15" t="str">
        <x:v>G2.5</x:v>
      </x:c>
      <x:c r="C76" s="17" t="str">
        <x:v>TV5</x:v>
      </x:c>
      <x:c r="D76" s="17" t="str">
        <x:v>TV3</x:v>
      </x:c>
      <x:c r="E76" s="15" t="str">
        <x:v>Hoàn thiện UX và hướng dẫn sử dụng</x:v>
      </x:c>
      <x:c r="F76" s="15" t="str">
        <x:v>SF69, SF70</x:v>
      </x:c>
      <x:c r="G76" s="15" t="str">
        <x:v>Thử màn hình hẹp; retry không tạo phiếu lặp; chụp ảnh màn hình thực tế và ghi hạn chế.</x:v>
      </x:c>
      <x:c r="H76" s="18"/>
      <x:c r="I76" s="17" t="str">
        <x:v>Chưa làm</x:v>
      </x:c>
      <x:c r="J76" s="17" t="str">
        <x:v>Chưa</x:v>
      </x:c>
      <x:c r="K76" s="17"/>
      <x:c r="L76" s="17"/>
      <x:c r="M76" s="15" t="n">
        <x:f>IF(AND(I76="Hoàn tất",J76="Đạt",K76&lt;&gt;"",C76&lt;&gt;D76,AND($M$74=1,$M$75=1,Team!$B$34="Đạt")),1,0)</x:f>
        <x:v>0</x:v>
      </x:c>
      <x:c r="N76" s="15" t="str">
        <x:f>IF(M76=1,"Xong",IF(AND($M$74=1,$M$75=1,Team!$B$34="Đạt"),"Có thể bắt đầu","Chờ điều kiện"))</x:f>
        <x:v>Chờ điều kiện</x:v>
      </x:c>
    </x:row>
    <x:row r="77" ht="46" customHeight="1">
      <x:c r="A77" s="15" t="str">
        <x:v>SF72</x:v>
      </x:c>
      <x:c r="B77" s="15" t="str">
        <x:v>G2.5</x:v>
      </x:c>
      <x:c r="C77" s="17" t="str">
        <x:v>TV6</x:v>
      </x:c>
      <x:c r="D77" s="17" t="str">
        <x:v>TV1</x:v>
      </x:c>
      <x:c r="E77" s="15" t="str">
        <x:v>Nghiệm thu toàn bộ bữa trưa</x:v>
      </x:c>
      <x:c r="F77" s="15" t="str">
        <x:v>SF69, SF70, SF71</x:v>
      </x:c>
      <x:c r="G77" s="15" t="str">
        <x:v>AC43–AC47 và mọi case G2 trước đó đạt; lỗi nghiêm trọng đóng; SF37–SF42 nghiệm thu lại trước deploy.</x:v>
      </x:c>
      <x:c r="H77" s="18"/>
      <x:c r="I77" s="17" t="str">
        <x:v>Chưa làm</x:v>
      </x:c>
      <x:c r="J77" s="17" t="str">
        <x:v>Chưa</x:v>
      </x:c>
      <x:c r="K77" s="17"/>
      <x:c r="L77" s="17"/>
      <x:c r="M77" s="15" t="n">
        <x:f>IF(AND(I77="Hoàn tất",J77="Đạt",K77&lt;&gt;"",C77&lt;&gt;D77,AND($M$74=1,$M$75=1,$M$76=1,COUNTIFS('Nghiem thu'!$B$28:$B$52,"G2.5",'Nghiem thu'!$J$28:$J$52,1)=5,Team!$B$34="Đạt")),1,0)</x:f>
        <x:v>0</x:v>
      </x:c>
      <x:c r="N77" s="15" t="str">
        <x:f>IF(M77=1,"Xong",IF(AND($M$74=1,$M$75=1,$M$76=1,COUNTIFS('Nghiem thu'!$B$28:$B$52,"G2.5",'Nghiem thu'!$J$28:$J$52,1)=5,Team!$B$34="Đạt"),"Có thể bắt đầu","Chờ điều kiện"))</x:f>
        <x:v>Chờ điều kiện</x:v>
      </x:c>
    </x:row>
  </x:sheetData>
  <x:conditionalFormatting sqref="D6:D47">
    <x:cfRule type="expression" dxfId="2" priority="2">
      <x:formula>D6=C6</x:formula>
    </x:cfRule>
  </x:conditionalFormatting>
  <x:conditionalFormatting sqref="I6:I47">
    <x:cfRule type="containsText" dxfId="1" priority="1" operator="containsText" text="Bị chặn"/>
  </x:conditionalFormatting>
  <x:conditionalFormatting sqref="D48:D77">
    <x:cfRule type="expression" dxfId="3" priority="3">
      <x:formula>C48=D48</x:formula>
    </x:cfRule>
  </x:conditionalFormatting>
  <x:conditionalFormatting sqref="I48:I77">
    <x:cfRule type="containsText" dxfId="4" priority="4" operator="containsText" text="Bị chặn"/>
  </x:conditionalFormatting>
  <x:dataValidations count="7">
    <x:dataValidation type="list" sqref="C6:D47">
      <x:formula1>"TV1,TV2,TV3,TV4,TV5,TV6"</x:formula1>
    </x:dataValidation>
    <x:dataValidation type="list" sqref="I6:I47">
      <x:formula1>"Chưa mở,Chưa làm,Đang làm,Bị chặn,Chờ review,Hoàn tất"</x:formula1>
    </x:dataValidation>
    <x:dataValidation type="list" sqref="J6:J47">
      <x:formula1>"Chưa,Đạt,Cần sửa"</x:formula1>
    </x:dataValidation>
    <x:dataValidation type="list" sqref="C48:C77">
      <x:formula1>"TV1,TV2,TV3,TV4,TV5,TV6"</x:formula1>
    </x:dataValidation>
    <x:dataValidation type="list" sqref="D48:D77">
      <x:formula1>"TV1,TV2,TV3,TV4,TV5,TV6"</x:formula1>
    </x:dataValidation>
    <x:dataValidation type="list" sqref="I48:I77">
      <x:formula1>"Chưa làm,Đang làm,Bị chặn,Chờ review,Hoàn tất"</x:formula1>
    </x:dataValidation>
    <x:dataValidation type="list" sqref="J48:J77">
      <x:formula1>"Chưa,Cần sửa,Đạt"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f8e4001b5c4d6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4.25"/>
  <x:cols>
    <x:col min="1" max="1" width="9" customWidth="1"/>
    <x:col min="2" max="2" width="8" customWidth="1"/>
    <x:col min="3" max="3" width="13" customWidth="1"/>
    <x:col min="4" max="4" width="20" customWidth="1"/>
    <x:col min="5" max="6" width="49" customWidth="1"/>
    <x:col min="7" max="7" width="36" customWidth="1"/>
    <x:col min="8" max="8" width="14" customWidth="1"/>
    <x:col min="9" max="9" width="28" customWidth="1"/>
    <x:col min="10" max="10" width="12" customWidth="1"/>
  </x:cols>
  <x:sheetData>
    <x:row r="2" ht="29.100000381469727" customHeight="1">
      <x:c r="A2" s="1" t="s">
        <x:v>206</x:v>
      </x:c>
    </x:row>
    <x:row r="3">
      <x:c r="A3" t="str">
        <x:v>AC01–AC22 giữ lịch sử; AC23–AC47 cho G2. Ghi actual và bằng chứng sau khi chạy, không đánh dấu trước.</x:v>
      </x:c>
    </x:row>
    <x:row r="5" ht="32.099998474121094" customHeight="1">
      <x:c r="A5" s="2" t="s">
        <x:v>4</x:v>
      </x:c>
      <x:c r="B5" s="2" t="s">
        <x:v>25</x:v>
      </x:c>
      <x:c r="C5" s="2" t="s">
        <x:v>207</x:v>
      </x:c>
      <x:c r="D5" s="2" t="s">
        <x:v>208</x:v>
      </x:c>
      <x:c r="E5" s="2" t="s">
        <x:v>209</x:v>
      </x:c>
      <x:c r="F5" s="2" t="s">
        <x:v>210</x:v>
      </x:c>
      <x:c r="G5" s="2" t="s">
        <x:v>211</x:v>
      </x:c>
      <x:c r="H5" s="2" t="s">
        <x:v>56</x:v>
      </x:c>
      <x:c r="I5" s="2" t="s">
        <x:v>58</x:v>
      </x:c>
      <x:c r="J5" s="2" t="s">
        <x:v>212</x:v>
      </x:c>
    </x:row>
    <x:row r="6" ht="15" customHeight="1">
      <x:c r="A6" s="4" t="s">
        <x:v>213</x:v>
      </x:c>
      <x:c r="B6" s="4" t="s">
        <x:v>32</x:v>
      </x:c>
      <x:c r="C6" s="5" t="s">
        <x:v>22</x:v>
      </x:c>
      <x:c r="D6" s="4" t="s">
        <x:v>214</x:v>
      </x:c>
      <x:c r="E6" s="4" t="s">
        <x:v>215</x:v>
      </x:c>
      <x:c r="F6" s="4" t="s">
        <x:v>216</x:v>
      </x:c>
      <x:c r="G6" s="5"/>
      <x:c r="H6" s="5" t="s">
        <x:v>217</x:v>
      </x:c>
      <x:c r="I6" s="5"/>
      <x:c r="J6" s="4" t="n">
        <x:f t="shared" ref="J6:J27" si="0">IF(AND(H6="Đạt",G6&lt;&gt;"",I6&lt;&gt;""),1,0)</x:f>
        <x:v>0</x:v>
      </x:c>
    </x:row>
    <x:row r="7" ht="15" customHeight="1">
      <x:c r="A7" s="3" t="s">
        <x:v>218</x:v>
      </x:c>
      <x:c r="B7" s="3" t="s">
        <x:v>35</x:v>
      </x:c>
      <x:c r="C7" s="5" t="s">
        <x:v>22</x:v>
      </x:c>
      <x:c r="D7" s="3" t="s">
        <x:v>219</x:v>
      </x:c>
      <x:c r="E7" s="3" t="s">
        <x:v>220</x:v>
      </x:c>
      <x:c r="F7" s="3" t="s">
        <x:v>221</x:v>
      </x:c>
      <x:c r="G7" s="5"/>
      <x:c r="H7" s="5" t="s">
        <x:v>217</x:v>
      </x:c>
      <x:c r="I7" s="5"/>
      <x:c r="J7" s="3">
        <x:f t="shared" si="0"/>
        <x:v>0</x:v>
      </x:c>
    </x:row>
    <x:row r="8" ht="24" customHeight="1">
      <x:c r="A8" s="4" t="s">
        <x:v>222</x:v>
      </x:c>
      <x:c r="B8" s="4" t="s">
        <x:v>37</x:v>
      </x:c>
      <x:c r="C8" s="5" t="s">
        <x:v>18</x:v>
      </x:c>
      <x:c r="D8" s="4" t="s">
        <x:v>223</x:v>
      </x:c>
      <x:c r="E8" s="4" t="s">
        <x:v>224</x:v>
      </x:c>
      <x:c r="F8" s="4" t="s">
        <x:v>225</x:v>
      </x:c>
      <x:c r="G8" s="5"/>
      <x:c r="H8" s="5" t="s">
        <x:v>217</x:v>
      </x:c>
      <x:c r="I8" s="5"/>
      <x:c r="J8" s="4">
        <x:f t="shared" si="0"/>
        <x:v>0</x:v>
      </x:c>
    </x:row>
    <x:row r="9" ht="24" customHeight="1">
      <x:c r="A9" s="3" t="s">
        <x:v>226</x:v>
      </x:c>
      <x:c r="B9" s="3" t="s">
        <x:v>37</x:v>
      </x:c>
      <x:c r="C9" s="5" t="s">
        <x:v>18</x:v>
      </x:c>
      <x:c r="D9" s="3" t="s">
        <x:v>227</x:v>
      </x:c>
      <x:c r="E9" s="3" t="s">
        <x:v>228</x:v>
      </x:c>
      <x:c r="F9" s="3" t="s">
        <x:v>229</x:v>
      </x:c>
      <x:c r="G9" s="5"/>
      <x:c r="H9" s="5" t="s">
        <x:v>217</x:v>
      </x:c>
      <x:c r="I9" s="5"/>
      <x:c r="J9" s="3">
        <x:f t="shared" si="0"/>
        <x:v>0</x:v>
      </x:c>
    </x:row>
    <x:row r="10" ht="15" customHeight="1">
      <x:c r="A10" s="4" t="s">
        <x:v>230</x:v>
      </x:c>
      <x:c r="B10" s="4" t="s">
        <x:v>37</x:v>
      </x:c>
      <x:c r="C10" s="5" t="s">
        <x:v>20</x:v>
      </x:c>
      <x:c r="D10" s="4" t="s">
        <x:v>231</x:v>
      </x:c>
      <x:c r="E10" s="4" t="s">
        <x:v>232</x:v>
      </x:c>
      <x:c r="F10" s="4" t="s">
        <x:v>233</x:v>
      </x:c>
      <x:c r="G10" s="5"/>
      <x:c r="H10" s="5" t="s">
        <x:v>217</x:v>
      </x:c>
      <x:c r="I10" s="5"/>
      <x:c r="J10" s="4">
        <x:f t="shared" si="0"/>
        <x:v>0</x:v>
      </x:c>
    </x:row>
    <x:row r="11" ht="15" customHeight="1">
      <x:c r="A11" s="3" t="s">
        <x:v>234</x:v>
      </x:c>
      <x:c r="B11" s="3" t="s">
        <x:v>37</x:v>
      </x:c>
      <x:c r="C11" s="5" t="s">
        <x:v>22</x:v>
      </x:c>
      <x:c r="D11" s="3" t="s">
        <x:v>120</x:v>
      </x:c>
      <x:c r="E11" s="3" t="s">
        <x:v>235</x:v>
      </x:c>
      <x:c r="F11" s="3" t="s">
        <x:v>236</x:v>
      </x:c>
      <x:c r="G11" s="5"/>
      <x:c r="H11" s="5" t="s">
        <x:v>217</x:v>
      </x:c>
      <x:c r="I11" s="5"/>
      <x:c r="J11" s="3">
        <x:f t="shared" si="0"/>
        <x:v>0</x:v>
      </x:c>
    </x:row>
    <x:row r="12" ht="15" customHeight="1">
      <x:c r="A12" s="4" t="s">
        <x:v>237</x:v>
      </x:c>
      <x:c r="B12" s="4" t="s">
        <x:v>39</x:v>
      </x:c>
      <x:c r="C12" s="5" t="s">
        <x:v>18</x:v>
      </x:c>
      <x:c r="D12" s="4" t="s">
        <x:v>238</x:v>
      </x:c>
      <x:c r="E12" s="4" t="s">
        <x:v>239</x:v>
      </x:c>
      <x:c r="F12" s="4" t="s">
        <x:v>240</x:v>
      </x:c>
      <x:c r="G12" s="5"/>
      <x:c r="H12" s="5" t="s">
        <x:v>217</x:v>
      </x:c>
      <x:c r="I12" s="5"/>
      <x:c r="J12" s="4">
        <x:f t="shared" si="0"/>
        <x:v>0</x:v>
      </x:c>
    </x:row>
    <x:row r="13" ht="15" customHeight="1">
      <x:c r="A13" s="3" t="s">
        <x:v>241</x:v>
      </x:c>
      <x:c r="B13" s="3" t="s">
        <x:v>39</x:v>
      </x:c>
      <x:c r="C13" s="5" t="s">
        <x:v>20</x:v>
      </x:c>
      <x:c r="D13" s="3" t="s">
        <x:v>242</x:v>
      </x:c>
      <x:c r="E13" s="3" t="s">
        <x:v>243</x:v>
      </x:c>
      <x:c r="F13" s="3" t="s">
        <x:v>244</x:v>
      </x:c>
      <x:c r="G13" s="5"/>
      <x:c r="H13" s="5" t="s">
        <x:v>217</x:v>
      </x:c>
      <x:c r="I13" s="5"/>
      <x:c r="J13" s="3">
        <x:f t="shared" si="0"/>
        <x:v>0</x:v>
      </x:c>
    </x:row>
    <x:row r="14" ht="15" customHeight="1">
      <x:c r="A14" s="4" t="s">
        <x:v>245</x:v>
      </x:c>
      <x:c r="B14" s="4" t="s">
        <x:v>39</x:v>
      </x:c>
      <x:c r="C14" s="5" t="s">
        <x:v>20</x:v>
      </x:c>
      <x:c r="D14" s="4" t="s">
        <x:v>242</x:v>
      </x:c>
      <x:c r="E14" s="4" t="s">
        <x:v>246</x:v>
      </x:c>
      <x:c r="F14" s="4" t="s">
        <x:v>247</x:v>
      </x:c>
      <x:c r="G14" s="5"/>
      <x:c r="H14" s="5" t="s">
        <x:v>217</x:v>
      </x:c>
      <x:c r="I14" s="5"/>
      <x:c r="J14" s="4">
        <x:f t="shared" si="0"/>
        <x:v>0</x:v>
      </x:c>
    </x:row>
    <x:row r="15" ht="15" customHeight="1">
      <x:c r="A15" s="3" t="s">
        <x:v>248</x:v>
      </x:c>
      <x:c r="B15" s="3" t="s">
        <x:v>39</x:v>
      </x:c>
      <x:c r="C15" s="5" t="s">
        <x:v>20</x:v>
      </x:c>
      <x:c r="D15" s="3" t="s">
        <x:v>249</x:v>
      </x:c>
      <x:c r="E15" s="3" t="s">
        <x:v>250</x:v>
      </x:c>
      <x:c r="F15" s="3" t="s">
        <x:v>251</x:v>
      </x:c>
      <x:c r="G15" s="5"/>
      <x:c r="H15" s="5" t="s">
        <x:v>217</x:v>
      </x:c>
      <x:c r="I15" s="5"/>
      <x:c r="J15" s="3">
        <x:f t="shared" si="0"/>
        <x:v>0</x:v>
      </x:c>
    </x:row>
    <x:row r="16" ht="15" customHeight="1">
      <x:c r="A16" s="4" t="s">
        <x:v>252</x:v>
      </x:c>
      <x:c r="B16" s="4" t="s">
        <x:v>41</x:v>
      </x:c>
      <x:c r="C16" s="5" t="s">
        <x:v>22</x:v>
      </x:c>
      <x:c r="D16" s="4" t="s">
        <x:v>253</x:v>
      </x:c>
      <x:c r="E16" s="4" t="s">
        <x:v>254</x:v>
      </x:c>
      <x:c r="F16" s="4" t="s">
        <x:v>255</x:v>
      </x:c>
      <x:c r="G16" s="5"/>
      <x:c r="H16" s="5" t="s">
        <x:v>217</x:v>
      </x:c>
      <x:c r="I16" s="5"/>
      <x:c r="J16" s="4">
        <x:f t="shared" si="0"/>
        <x:v>0</x:v>
      </x:c>
    </x:row>
    <x:row r="17" ht="15" customHeight="1">
      <x:c r="A17" s="3" t="s">
        <x:v>256</x:v>
      </x:c>
      <x:c r="B17" s="3" t="s">
        <x:v>41</x:v>
      </x:c>
      <x:c r="C17" s="5" t="s">
        <x:v>20</x:v>
      </x:c>
      <x:c r="D17" s="3" t="s">
        <x:v>257</x:v>
      </x:c>
      <x:c r="E17" s="3" t="s">
        <x:v>258</x:v>
      </x:c>
      <x:c r="F17" s="3" t="s">
        <x:v>259</x:v>
      </x:c>
      <x:c r="G17" s="5"/>
      <x:c r="H17" s="5" t="s">
        <x:v>217</x:v>
      </x:c>
      <x:c r="I17" s="5"/>
      <x:c r="J17" s="3">
        <x:f t="shared" si="0"/>
        <x:v>0</x:v>
      </x:c>
    </x:row>
    <x:row r="18" ht="15" customHeight="1">
      <x:c r="A18" s="4" t="s">
        <x:v>260</x:v>
      </x:c>
      <x:c r="B18" s="4" t="s">
        <x:v>41</x:v>
      </x:c>
      <x:c r="C18" s="5" t="s">
        <x:v>20</x:v>
      </x:c>
      <x:c r="D18" s="4" t="s">
        <x:v>261</x:v>
      </x:c>
      <x:c r="E18" s="4" t="s">
        <x:v>262</x:v>
      </x:c>
      <x:c r="F18" s="4" t="s">
        <x:v>263</x:v>
      </x:c>
      <x:c r="G18" s="5"/>
      <x:c r="H18" s="5" t="s">
        <x:v>217</x:v>
      </x:c>
      <x:c r="I18" s="5"/>
      <x:c r="J18" s="4">
        <x:f t="shared" si="0"/>
        <x:v>0</x:v>
      </x:c>
    </x:row>
    <x:row r="19" ht="15" customHeight="1">
      <x:c r="A19" s="3" t="s">
        <x:v>264</x:v>
      </x:c>
      <x:c r="B19" s="3" t="s">
        <x:v>41</x:v>
      </x:c>
      <x:c r="C19" s="5" t="s">
        <x:v>20</x:v>
      </x:c>
      <x:c r="D19" s="3" t="s">
        <x:v>158</x:v>
      </x:c>
      <x:c r="E19" s="3" t="s">
        <x:v>265</x:v>
      </x:c>
      <x:c r="F19" s="3" t="s">
        <x:v>266</x:v>
      </x:c>
      <x:c r="G19" s="5"/>
      <x:c r="H19" s="5" t="s">
        <x:v>217</x:v>
      </x:c>
      <x:c r="I19" s="5"/>
      <x:c r="J19" s="3">
        <x:f t="shared" si="0"/>
        <x:v>0</x:v>
      </x:c>
    </x:row>
    <x:row r="20" ht="15" customHeight="1">
      <x:c r="A20" s="4" t="s">
        <x:v>267</x:v>
      </x:c>
      <x:c r="B20" s="4" t="s">
        <x:v>43</x:v>
      </x:c>
      <x:c r="C20" s="5" t="s">
        <x:v>22</x:v>
      </x:c>
      <x:c r="D20" s="4" t="s">
        <x:v>268</x:v>
      </x:c>
      <x:c r="E20" s="4" t="s">
        <x:v>269</x:v>
      </x:c>
      <x:c r="F20" s="4" t="s">
        <x:v>270</x:v>
      </x:c>
      <x:c r="G20" s="5"/>
      <x:c r="H20" s="5" t="s">
        <x:v>217</x:v>
      </x:c>
      <x:c r="I20" s="5"/>
      <x:c r="J20" s="4">
        <x:f t="shared" si="0"/>
        <x:v>0</x:v>
      </x:c>
    </x:row>
    <x:row r="21" ht="15" customHeight="1">
      <x:c r="A21" s="3" t="s">
        <x:v>271</x:v>
      </x:c>
      <x:c r="B21" s="3" t="s">
        <x:v>43</x:v>
      </x:c>
      <x:c r="C21" s="5" t="s">
        <x:v>14</x:v>
      </x:c>
      <x:c r="D21" s="3" t="s">
        <x:v>169</x:v>
      </x:c>
      <x:c r="E21" s="3" t="s">
        <x:v>272</x:v>
      </x:c>
      <x:c r="F21" s="3" t="s">
        <x:v>273</x:v>
      </x:c>
      <x:c r="G21" s="5"/>
      <x:c r="H21" s="5" t="s">
        <x:v>217</x:v>
      </x:c>
      <x:c r="I21" s="5"/>
      <x:c r="J21" s="3">
        <x:f t="shared" si="0"/>
        <x:v>0</x:v>
      </x:c>
    </x:row>
    <x:row r="22" ht="15" customHeight="1">
      <x:c r="A22" s="4" t="s">
        <x:v>274</x:v>
      </x:c>
      <x:c r="B22" s="4" t="s">
        <x:v>43</x:v>
      </x:c>
      <x:c r="C22" s="5" t="s">
        <x:v>20</x:v>
      </x:c>
      <x:c r="D22" s="4" t="s">
        <x:v>268</x:v>
      </x:c>
      <x:c r="E22" s="4" t="s">
        <x:v>275</x:v>
      </x:c>
      <x:c r="F22" s="4" t="s">
        <x:v>276</x:v>
      </x:c>
      <x:c r="G22" s="5"/>
      <x:c r="H22" s="5" t="s">
        <x:v>217</x:v>
      </x:c>
      <x:c r="I22" s="5"/>
      <x:c r="J22" s="4">
        <x:f t="shared" si="0"/>
        <x:v>0</x:v>
      </x:c>
    </x:row>
    <x:row r="23" ht="24" customHeight="1">
      <x:c r="A23" s="3" t="s">
        <x:v>277</x:v>
      </x:c>
      <x:c r="B23" s="3" t="s">
        <x:v>43</x:v>
      </x:c>
      <x:c r="C23" s="5" t="s">
        <x:v>18</x:v>
      </x:c>
      <x:c r="D23" s="3" t="s">
        <x:v>278</x:v>
      </x:c>
      <x:c r="E23" s="3" t="s">
        <x:v>279</x:v>
      </x:c>
      <x:c r="F23" s="3" t="s">
        <x:v>280</x:v>
      </x:c>
      <x:c r="G23" s="5"/>
      <x:c r="H23" s="5" t="s">
        <x:v>217</x:v>
      </x:c>
      <x:c r="I23" s="5"/>
      <x:c r="J23" s="3">
        <x:f t="shared" si="0"/>
        <x:v>0</x:v>
      </x:c>
    </x:row>
    <x:row r="24" ht="15" customHeight="1">
      <x:c r="A24" s="4" t="s">
        <x:v>281</x:v>
      </x:c>
      <x:c r="B24" s="4" t="s">
        <x:v>43</x:v>
      </x:c>
      <x:c r="C24" s="5" t="s">
        <x:v>22</x:v>
      </x:c>
      <x:c r="D24" s="4" t="s">
        <x:v>181</x:v>
      </x:c>
      <x:c r="E24" s="4" t="s">
        <x:v>282</x:v>
      </x:c>
      <x:c r="F24" s="4" t="s">
        <x:v>283</x:v>
      </x:c>
      <x:c r="G24" s="5"/>
      <x:c r="H24" s="5" t="s">
        <x:v>217</x:v>
      </x:c>
      <x:c r="I24" s="5"/>
      <x:c r="J24" s="4">
        <x:f t="shared" si="0"/>
        <x:v>0</x:v>
      </x:c>
    </x:row>
    <x:row r="25" ht="15" customHeight="1">
      <x:c r="A25" s="3" t="s">
        <x:v>284</x:v>
      </x:c>
      <x:c r="B25" s="3" t="s">
        <x:v>43</x:v>
      </x:c>
      <x:c r="C25" s="5" t="s">
        <x:v>22</x:v>
      </x:c>
      <x:c r="D25" s="3" t="s">
        <x:v>181</x:v>
      </x:c>
      <x:c r="E25" s="3" t="s">
        <x:v>285</x:v>
      </x:c>
      <x:c r="F25" s="3" t="s">
        <x:v>286</x:v>
      </x:c>
      <x:c r="G25" s="5"/>
      <x:c r="H25" s="5" t="s">
        <x:v>217</x:v>
      </x:c>
      <x:c r="I25" s="5"/>
      <x:c r="J25" s="3">
        <x:f t="shared" si="0"/>
        <x:v>0</x:v>
      </x:c>
    </x:row>
    <x:row r="26" ht="24" customHeight="1">
      <x:c r="A26" s="4" t="s">
        <x:v>287</x:v>
      </x:c>
      <x:c r="B26" s="4" t="s">
        <x:v>45</x:v>
      </x:c>
      <x:c r="C26" s="5" t="s">
        <x:v>20</x:v>
      </x:c>
      <x:c r="D26" s="4" t="s">
        <x:v>288</x:v>
      </x:c>
      <x:c r="E26" s="4" t="s">
        <x:v>289</x:v>
      </x:c>
      <x:c r="F26" s="4" t="s">
        <x:v>290</x:v>
      </x:c>
      <x:c r="G26" s="5"/>
      <x:c r="H26" s="5" t="s">
        <x:v>217</x:v>
      </x:c>
      <x:c r="I26" s="5"/>
      <x:c r="J26" s="4">
        <x:f t="shared" si="0"/>
        <x:v>0</x:v>
      </x:c>
    </x:row>
    <x:row r="27" ht="24" customHeight="1">
      <x:c r="A27" s="3" t="s">
        <x:v>291</x:v>
      </x:c>
      <x:c r="B27" s="3" t="s">
        <x:v>45</x:v>
      </x:c>
      <x:c r="C27" s="5" t="s">
        <x:v>22</x:v>
      </x:c>
      <x:c r="D27" s="3" t="s">
        <x:v>292</x:v>
      </x:c>
      <x:c r="E27" s="3" t="s">
        <x:v>293</x:v>
      </x:c>
      <x:c r="F27" s="3" t="s">
        <x:v>294</x:v>
      </x:c>
      <x:c r="G27" s="5"/>
      <x:c r="H27" s="5" t="s">
        <x:v>217</x:v>
      </x:c>
      <x:c r="I27" s="5"/>
      <x:c r="J27" s="3">
        <x:f t="shared" si="0"/>
        <x:v>0</x:v>
      </x:c>
    </x:row>
    <x:row r="28" ht="46" customHeight="1">
      <x:c r="A28" s="15" t="str">
        <x:v>AC23</x:v>
      </x:c>
      <x:c r="B28" s="15" t="str">
        <x:v>G2.1</x:v>
      </x:c>
      <x:c r="C28" s="17" t="str">
        <x:v>TV6</x:v>
      </x:c>
      <x:c r="D28" s="15" t="str">
        <x:v>SF43,SF44</x:v>
      </x:c>
      <x:c r="E28" s="15" t="str">
        <x:v>Tạo lớp sĩ số 30; gửi -1, 31 suất và số lẻ.</x:v>
      </x:c>
      <x:c r="F28" s="15" t="str">
        <x:v>Từ chối giá trị sai; giữ dữ liệu cũ.</x:v>
      </x:c>
      <x:c r="G28" s="17"/>
      <x:c r="H28" s="17" t="str">
        <x:v>Chưa chạy</x:v>
      </x:c>
      <x:c r="I28" s="17"/>
      <x:c r="J28" s="15" t="n">
        <x:f>IF(AND(H28="Đạt",G28&lt;&gt;"",I28&lt;&gt;""),1,0)</x:f>
        <x:v>0</x:v>
      </x:c>
    </x:row>
    <x:row r="29" ht="46" customHeight="1">
      <x:c r="A29" s="15" t="str">
        <x:v>AC24</x:v>
      </x:c>
      <x:c r="B29" s="15" t="str">
        <x:v>G2.1</x:v>
      </x:c>
      <x:c r="C29" s="17" t="str">
        <x:v>TV6</x:v>
      </x:c>
      <x:c r="D29" s="15" t="str">
        <x:v>SF46,SF47</x:v>
      </x:c>
      <x:c r="E29" s="15" t="str">
        <x:v>Nhập lớp A 30, B 28, nhân viên 5; C chưa nhập, sau đó nhập 0.</x:v>
      </x:c>
      <x:c r="F29" s="15" t="str">
        <x:v>Tổng 63; thiếu C chặn chốt, C=0 được chấp nhận.</x:v>
      </x:c>
      <x:c r="G29" s="17"/>
      <x:c r="H29" s="17" t="str">
        <x:v>Chưa chạy</x:v>
      </x:c>
      <x:c r="I29" s="17"/>
      <x:c r="J29" s="15" t="n">
        <x:f>IF(AND(H29="Đạt",G29&lt;&gt;"",I29&lt;&gt;""),1,0)</x:f>
        <x:v>0</x:v>
      </x:c>
    </x:row>
    <x:row r="30" ht="46" customHeight="1">
      <x:c r="A30" s="15" t="str">
        <x:v>AC25</x:v>
      </x:c>
      <x:c r="B30" s="15" t="str">
        <x:v>G2.1</x:v>
      </x:c>
      <x:c r="C30" s="17" t="str">
        <x:v>TV6</x:v>
      </x:c>
      <x:c r="D30" s="15" t="str">
        <x:v>SF46</x:v>
      </x:c>
      <x:c r="E30" s="15" t="str">
        <x:v>Chốt dự kiến 63, thực tế 60; sửa sĩ số lớp sau đó.</x:v>
      </x:c>
      <x:c r="F30" s="15" t="str">
        <x:v>Hai số được giữ riêng; lịch sử không đổi.</x:v>
      </x:c>
      <x:c r="G30" s="17"/>
      <x:c r="H30" s="17" t="str">
        <x:v>Chưa chạy</x:v>
      </x:c>
      <x:c r="I30" s="17"/>
      <x:c r="J30" s="15" t="n">
        <x:f>IF(AND(H30="Đạt",G30&lt;&gt;"",I30&lt;&gt;""),1,0)</x:f>
        <x:v>0</x:v>
      </x:c>
    </x:row>
    <x:row r="31" ht="46" customHeight="1">
      <x:c r="A31" s="15" t="str">
        <x:v>AC26</x:v>
      </x:c>
      <x:c r="B31" s="15" t="str">
        <x:v>G2.1</x:v>
      </x:c>
      <x:c r="C31" s="17" t="str">
        <x:v>TV6</x:v>
      </x:c>
      <x:c r="D31" s="15" t="str">
        <x:v>SF44,SF46</x:v>
      </x:c>
      <x:c r="E31" s="15" t="str">
        <x:v>Gửi request bằng anonymous, viewer, manager; thiếu CSRF.</x:v>
      </x:c>
      <x:c r="F31" s="15" t="str">
        <x:v>401/403 đúng contract; manager hợp lệ mới ghi được.</x:v>
      </x:c>
      <x:c r="G31" s="17"/>
      <x:c r="H31" s="17" t="str">
        <x:v>Chưa chạy</x:v>
      </x:c>
      <x:c r="I31" s="17"/>
      <x:c r="J31" s="15" t="n">
        <x:f>IF(AND(H31="Đạt",G31&lt;&gt;"",I31&lt;&gt;""),1,0)</x:f>
        <x:v>0</x:v>
      </x:c>
    </x:row>
    <x:row r="32" ht="46" customHeight="1">
      <x:c r="A32" s="15" t="str">
        <x:v>AC27</x:v>
      </x:c>
      <x:c r="B32" s="15" t="str">
        <x:v>G2.1</x:v>
      </x:c>
      <x:c r="C32" s="17" t="str">
        <x:v>TV6</x:v>
      </x:c>
      <x:c r="D32" s="15" t="str">
        <x:v>SF46,SF48</x:v>
      </x:c>
      <x:c r="E32" s="15" t="str">
        <x:v>Hai máy sửa cùng phiên bản số suất.</x:v>
      </x:c>
      <x:c r="F32" s="15" t="str">
        <x:v>Một cập nhật thành công; bản cũ 409; không ghi đè im lặng.</x:v>
      </x:c>
      <x:c r="G32" s="17"/>
      <x:c r="H32" s="17" t="str">
        <x:v>Chưa chạy</x:v>
      </x:c>
      <x:c r="I32" s="17"/>
      <x:c r="J32" s="15" t="n">
        <x:f>IF(AND(H32="Đạt",G32&lt;&gt;"",I32&lt;&gt;""),1,0)</x:f>
        <x:v>0</x:v>
      </x:c>
    </x:row>
    <x:row r="33" ht="46" customHeight="1">
      <x:c r="A33" s="15" t="str">
        <x:v>AC28</x:v>
      </x:c>
      <x:c r="B33" s="15" t="str">
        <x:v>G2.2</x:v>
      </x:c>
      <x:c r="C33" s="17" t="str">
        <x:v>TV6</x:v>
      </x:c>
      <x:c r="D33" s="15" t="str">
        <x:v>SF50</x:v>
      </x:c>
      <x:c r="E33" s="15" t="str">
        <x:v>Nhập công thức 60 g thịt và công thức canh 10 g thịt.</x:v>
      </x:c>
      <x:c r="F33" s="15" t="str">
        <x:v>0.060 và 0.010 kg; tổng 0.070 kg/suất.</x:v>
      </x:c>
      <x:c r="G33" s="17"/>
      <x:c r="H33" s="17" t="str">
        <x:v>Chưa chạy</x:v>
      </x:c>
      <x:c r="I33" s="17"/>
      <x:c r="J33" s="15" t="n">
        <x:f>IF(AND(H33="Đạt",G33&lt;&gt;"",I33&lt;&gt;""),1,0)</x:f>
        <x:v>0</x:v>
      </x:c>
    </x:row>
    <x:row r="34" ht="46" customHeight="1">
      <x:c r="A34" s="15" t="str">
        <x:v>AC29</x:v>
      </x:c>
      <x:c r="B34" s="15" t="str">
        <x:v>G2.2</x:v>
      </x:c>
      <x:c r="C34" s="17" t="str">
        <x:v>TV6</x:v>
      </x:c>
      <x:c r="D34" s="15" t="str">
        <x:v>SF49,SF50</x:v>
      </x:c>
      <x:c r="E34" s="15" t="str">
        <x:v>Lưu công thức rỗng, food lặp, âm/NaN hoặc đơn vị khác chiều.</x:v>
      </x:c>
      <x:c r="F34" s="15" t="str">
        <x:v>Từ chối; không lưu dở dang.</x:v>
      </x:c>
      <x:c r="G34" s="17"/>
      <x:c r="H34" s="17" t="str">
        <x:v>Chưa chạy</x:v>
      </x:c>
      <x:c r="I34" s="17"/>
      <x:c r="J34" s="15" t="n">
        <x:f>IF(AND(H34="Đạt",G34&lt;&gt;"",I34&lt;&gt;""),1,0)</x:f>
        <x:v>0</x:v>
      </x:c>
    </x:row>
    <x:row r="35" ht="46" customHeight="1">
      <x:c r="A35" s="15" t="str">
        <x:v>AC30</x:v>
      </x:c>
      <x:c r="B35" s="15" t="str">
        <x:v>G2.2</x:v>
      </x:c>
      <x:c r="C35" s="17" t="str">
        <x:v>TV6</x:v>
      </x:c>
      <x:c r="D35" s="15" t="str">
        <x:v>SF52</x:v>
      </x:c>
      <x:c r="E35" s="15" t="str">
        <x:v>Chốt thực đơn rồi đổi công thức món.</x:v>
      </x:c>
      <x:c r="F35" s="15" t="str">
        <x:v>Phiên bản đã chốt giữ nguyên định lượng.</x:v>
      </x:c>
      <x:c r="G35" s="17"/>
      <x:c r="H35" s="17" t="str">
        <x:v>Chưa chạy</x:v>
      </x:c>
      <x:c r="I35" s="17"/>
      <x:c r="J35" s="15" t="n">
        <x:f>IF(AND(H35="Đạt",G35&lt;&gt;"",I35&lt;&gt;""),1,0)</x:f>
        <x:v>0</x:v>
      </x:c>
    </x:row>
    <x:row r="36" ht="46" customHeight="1">
      <x:c r="A36" s="15" t="str">
        <x:v>AC31</x:v>
      </x:c>
      <x:c r="B36" s="15" t="str">
        <x:v>G2.2</x:v>
      </x:c>
      <x:c r="C36" s="17" t="str">
        <x:v>TV6</x:v>
      </x:c>
      <x:c r="D36" s="15" t="str">
        <x:v>SF52,SF53</x:v>
      </x:c>
      <x:c r="E36" s="15" t="str">
        <x:v>Sao chép sang ngày mới; đánh dấu ngày nghỉ.</x:v>
      </x:c>
      <x:c r="F36" s="15" t="str">
        <x:v>Bản mới là nháp độc lập; ngày nghỉ khác ngày chưa lập.</x:v>
      </x:c>
      <x:c r="G36" s="17"/>
      <x:c r="H36" s="17" t="str">
        <x:v>Chưa chạy</x:v>
      </x:c>
      <x:c r="I36" s="17"/>
      <x:c r="J36" s="15" t="n">
        <x:f>IF(AND(H36="Đạt",G36&lt;&gt;"",I36&lt;&gt;""),1,0)</x:f>
        <x:v>0</x:v>
      </x:c>
    </x:row>
    <x:row r="37" ht="46" customHeight="1">
      <x:c r="A37" s="15" t="str">
        <x:v>AC32</x:v>
      </x:c>
      <x:c r="B37" s="15" t="str">
        <x:v>G2.2</x:v>
      </x:c>
      <x:c r="C37" s="17" t="str">
        <x:v>TV6</x:v>
      </x:c>
      <x:c r="D37" s="15" t="str">
        <x:v>SF52,SF54</x:v>
      </x:c>
      <x:c r="E37" s="15" t="str">
        <x:v>Chốt khi món thiếu công thức hoặc gửi version cũ.</x:v>
      </x:c>
      <x:c r="F37" s="15" t="str">
        <x:v>Chặn chốt hoặc trả 409; thông báo chỉ rõ lỗi.</x:v>
      </x:c>
      <x:c r="G37" s="17"/>
      <x:c r="H37" s="17" t="str">
        <x:v>Chưa chạy</x:v>
      </x:c>
      <x:c r="I37" s="17"/>
      <x:c r="J37" s="15" t="n">
        <x:f>IF(AND(H37="Đạt",G37&lt;&gt;"",I37&lt;&gt;""),1,0)</x:f>
        <x:v>0</x:v>
      </x:c>
    </x:row>
    <x:row r="38" ht="46" customHeight="1">
      <x:c r="A38" s="15" t="str">
        <x:v>AC33</x:v>
      </x:c>
      <x:c r="B38" s="15" t="str">
        <x:v>G2.3</x:v>
      </x:c>
      <x:c r="C38" s="17" t="str">
        <x:v>TV6</x:v>
      </x:c>
      <x:c r="D38" s="15" t="str">
        <x:v>SF56,SF58</x:v>
      </x:c>
      <x:c r="E38" s="15" t="str">
        <x:v>300 suất × 0.070 kg; dự phòng 1; tồn giữ 5; hàng chờ giữ 4.</x:v>
      </x:c>
      <x:c r="F38" s="15" t="str">
        <x:v>Nhu cầu 21, tổng 22, mua thêm 13 kg.</x:v>
      </x:c>
      <x:c r="G38" s="17"/>
      <x:c r="H38" s="17" t="str">
        <x:v>Chưa chạy</x:v>
      </x:c>
      <x:c r="I38" s="17"/>
      <x:c r="J38" s="15" t="n">
        <x:f>IF(AND(H38="Đạt",G38&lt;&gt;"",I38&lt;&gt;""),1,0)</x:f>
        <x:v>0</x:v>
      </x:c>
    </x:row>
    <x:row r="39" ht="46" customHeight="1">
      <x:c r="A39" s="15" t="str">
        <x:v>AC34</x:v>
      </x:c>
      <x:c r="B39" s="15" t="str">
        <x:v>G2.3</x:v>
      </x:c>
      <x:c r="C39" s="17" t="str">
        <x:v>TV6</x:v>
      </x:c>
      <x:c r="D39" s="15" t="str">
        <x:v>SF58</x:v>
      </x:c>
      <x:c r="E39" s="15" t="str">
        <x:v>Hai kế hoạch cùng giữ 5 kg từ kho chỉ có 5 kg.</x:v>
      </x:c>
      <x:c r="F39" s="15" t="str">
        <x:v>Tổng phân bổ không vượt 5; tồn thực tế chưa giảm.</x:v>
      </x:c>
      <x:c r="G39" s="17"/>
      <x:c r="H39" s="17" t="str">
        <x:v>Chưa chạy</x:v>
      </x:c>
      <x:c r="I39" s="17"/>
      <x:c r="J39" s="15" t="n">
        <x:f>IF(AND(H39="Đạt",G39&lt;&gt;"",I39&lt;&gt;""),1,0)</x:f>
        <x:v>0</x:v>
      </x:c>
    </x:row>
    <x:row r="40" ht="46" customHeight="1">
      <x:c r="A40" s="15" t="str">
        <x:v>AC35</x:v>
      </x:c>
      <x:c r="B40" s="15" t="str">
        <x:v>G2.3</x:v>
      </x:c>
      <x:c r="C40" s="17" t="str">
        <x:v>TV6</x:v>
      </x:c>
      <x:c r="D40" s="15" t="str">
        <x:v>SF58,SF60</x:v>
      </x:c>
      <x:c r="E40" s="15" t="str">
        <x:v>Hàng chờ giao sau giờ cần; hủy giữ hàng; kiểm kê giảm tồn.</x:v>
      </x:c>
      <x:c r="F40" s="15" t="str">
        <x:v>Hàng muộn không được tính; hủy giải phóng; thiếu hụt phải hiện và tính lại.</x:v>
      </x:c>
      <x:c r="G40" s="17"/>
      <x:c r="H40" s="17" t="str">
        <x:v>Chưa chạy</x:v>
      </x:c>
      <x:c r="I40" s="17"/>
      <x:c r="J40" s="15" t="n">
        <x:f>IF(AND(H40="Đạt",G40&lt;&gt;"",I40&lt;&gt;""),1,0)</x:f>
        <x:v>0</x:v>
      </x:c>
    </x:row>
    <x:row r="41" ht="46" customHeight="1">
      <x:c r="A41" s="15" t="str">
        <x:v>AC36</x:v>
      </x:c>
      <x:c r="B41" s="15" t="str">
        <x:v>G2.3</x:v>
      </x:c>
      <x:c r="C41" s="17" t="str">
        <x:v>TV6</x:v>
      </x:c>
      <x:c r="D41" s="15" t="str">
        <x:v>SF56,SF59</x:v>
      </x:c>
      <x:c r="E41" s="15" t="str">
        <x:v>Đổi 300 xuống 280 suất; tồn lớn hơn nhu cầu.</x:v>
      </x:c>
      <x:c r="F41" s="15" t="str">
        <x:v>Nhu cầu mới 19.6 kg; mua thêm không âm; hiện phần thay đổi.</x:v>
      </x:c>
      <x:c r="G41" s="17"/>
      <x:c r="H41" s="17" t="str">
        <x:v>Chưa chạy</x:v>
      </x:c>
      <x:c r="I41" s="17"/>
      <x:c r="J41" s="15" t="n">
        <x:f>IF(AND(H41="Đạt",G41&lt;&gt;"",I41&lt;&gt;""),1,0)</x:f>
        <x:v>0</x:v>
      </x:c>
    </x:row>
    <x:row r="42" ht="46" customHeight="1">
      <x:c r="A42" s="15" t="str">
        <x:v>AC37</x:v>
      </x:c>
      <x:c r="B42" s="15" t="str">
        <x:v>G2.3</x:v>
      </x:c>
      <x:c r="C42" s="17" t="str">
        <x:v>TV6</x:v>
      </x:c>
      <x:c r="D42" s="15" t="str">
        <x:v>SF58,SF60</x:v>
      </x:c>
      <x:c r="E42" s="15" t="str">
        <x:v>Tính lại/gửi duyệt lặp; thực đơn hoặc tồn đã đổi.</x:v>
      </x:c>
      <x:c r="F42" s="15" t="str">
        <x:v>Không giữ/đặt trùng; phiên bản cũ bị từ chối hoặc yêu cầu tính lại.</x:v>
      </x:c>
      <x:c r="G42" s="17"/>
      <x:c r="H42" s="17" t="str">
        <x:v>Chưa chạy</x:v>
      </x:c>
      <x:c r="I42" s="17"/>
      <x:c r="J42" s="15" t="n">
        <x:f>IF(AND(H42="Đạt",G42&lt;&gt;"",I42&lt;&gt;""),1,0)</x:f>
        <x:v>0</x:v>
      </x:c>
    </x:row>
    <x:row r="43" ht="46" customHeight="1">
      <x:c r="A43" s="15" t="str">
        <x:v>AC38</x:v>
      </x:c>
      <x:c r="B43" s="15" t="str">
        <x:v>G2.4</x:v>
      </x:c>
      <x:c r="C43" s="17" t="str">
        <x:v>TV6</x:v>
      </x:c>
      <x:c r="D43" s="15" t="str">
        <x:v>SF62,SF64</x:v>
      </x:c>
      <x:c r="E43" s="15" t="str">
        <x:v>Duyệt hai lần cùng đơn hoặc hai đơn cùng phần thiếu.</x:v>
      </x:c>
      <x:c r="F43" s="15" t="str">
        <x:v>Không mua trùng phần nhu cầu đã được đáp ứng.</x:v>
      </x:c>
      <x:c r="G43" s="17"/>
      <x:c r="H43" s="17" t="str">
        <x:v>Chưa chạy</x:v>
      </x:c>
      <x:c r="I43" s="17"/>
      <x:c r="J43" s="15" t="n">
        <x:f>IF(AND(H43="Đạt",G43&lt;&gt;"",I43&lt;&gt;""),1,0)</x:f>
        <x:v>0</x:v>
      </x:c>
    </x:row>
    <x:row r="44" ht="46" customHeight="1">
      <x:c r="A44" s="15" t="str">
        <x:v>AC39</x:v>
      </x:c>
      <x:c r="B44" s="15" t="str">
        <x:v>G2.4</x:v>
      </x:c>
      <x:c r="C44" s="17" t="str">
        <x:v>TV6</x:v>
      </x:c>
      <x:c r="D44" s="15" t="str">
        <x:v>SF64,SF65</x:v>
      </x:c>
      <x:c r="E44" s="15" t="str">
        <x:v>Đặt 13 kg; lập nháp nhận 10 rồi chốt; nhận tiếp 3.</x:v>
      </x:c>
      <x:c r="F44" s="15" t="str">
        <x:v>Nháp không đổi kho; sau chốt còn thiếu 3; lần sau hoàn tất.</x:v>
      </x:c>
      <x:c r="G44" s="17"/>
      <x:c r="H44" s="17" t="str">
        <x:v>Chưa chạy</x:v>
      </x:c>
      <x:c r="I44" s="17"/>
      <x:c r="J44" s="15" t="n">
        <x:f>IF(AND(H44="Đạt",G44&lt;&gt;"",I44&lt;&gt;""),1,0)</x:f>
        <x:v>0</x:v>
      </x:c>
    </x:row>
    <x:row r="45" ht="46" customHeight="1">
      <x:c r="A45" s="15" t="str">
        <x:v>AC40</x:v>
      </x:c>
      <x:c r="B45" s="15" t="str">
        <x:v>G2.4</x:v>
      </x:c>
      <x:c r="C45" s="17" t="str">
        <x:v>TV6</x:v>
      </x:c>
      <x:c r="D45" s="15" t="str">
        <x:v>SF64,SF66</x:v>
      </x:c>
      <x:c r="E45" s="15" t="str">
        <x:v>Đang chờ 4 kg đã phân bổ; chốt nhận đủ 4.</x:v>
      </x:c>
      <x:c r="F45" s="15" t="str">
        <x:v>Chuyển sang tồn phân bổ; tổng nguồn đáp ứng vẫn 4, không 8.</x:v>
      </x:c>
      <x:c r="G45" s="17"/>
      <x:c r="H45" s="17" t="str">
        <x:v>Chưa chạy</x:v>
      </x:c>
      <x:c r="I45" s="17"/>
      <x:c r="J45" s="15" t="n">
        <x:f>IF(AND(H45="Đạt",G45&lt;&gt;"",I45&lt;&gt;""),1,0)</x:f>
        <x:v>0</x:v>
      </x:c>
    </x:row>
    <x:row r="46" ht="46" customHeight="1">
      <x:c r="A46" s="15" t="str">
        <x:v>AC41</x:v>
      </x:c>
      <x:c r="B46" s="15" t="str">
        <x:v>G2.4</x:v>
      </x:c>
      <x:c r="C46" s="17" t="str">
        <x:v>TV6</x:v>
      </x:c>
      <x:c r="D46" s="15" t="str">
        <x:v>SF62,SF65</x:v>
      </x:c>
      <x:c r="E46" s="15" t="str">
        <x:v>Nhận vượt; từ chối hàng; đóng phần thiếu có lý do.</x:v>
      </x:c>
      <x:c r="F46" s="15" t="str">
        <x:v>Chặn vượt; chỉ lượng chấp nhận vào kho; giải phóng phần không giao.</x:v>
      </x:c>
      <x:c r="G46" s="17"/>
      <x:c r="H46" s="17" t="str">
        <x:v>Chưa chạy</x:v>
      </x:c>
      <x:c r="I46" s="17"/>
      <x:c r="J46" s="15" t="n">
        <x:f>IF(AND(H46="Đạt",G46&lt;&gt;"",I46&lt;&gt;""),1,0)</x:f>
        <x:v>0</x:v>
      </x:c>
    </x:row>
    <x:row r="47" ht="46" customHeight="1">
      <x:c r="A47" s="15" t="str">
        <x:v>AC42</x:v>
      </x:c>
      <x:c r="B47" s="15" t="str">
        <x:v>G2.4</x:v>
      </x:c>
      <x:c r="C47" s="17" t="str">
        <x:v>TV6</x:v>
      </x:c>
      <x:c r="D47" s="15" t="str">
        <x:v>SF63,SF64</x:v>
      </x:c>
      <x:c r="E47" s="15" t="str">
        <x:v>Đổi thực đơn sau gửi; lỗi giữa lúc chốt nhận.</x:v>
      </x:c>
      <x:c r="F47" s="15" t="str">
        <x:v>Hiện chênh lệch, giữ đơn đã gửi; rollback cả kho, ledger, đơn và phân bổ.</x:v>
      </x:c>
      <x:c r="G47" s="17"/>
      <x:c r="H47" s="17" t="str">
        <x:v>Chưa chạy</x:v>
      </x:c>
      <x:c r="I47" s="17"/>
      <x:c r="J47" s="15" t="n">
        <x:f>IF(AND(H47="Đạt",G47&lt;&gt;"",I47&lt;&gt;""),1,0)</x:f>
        <x:v>0</x:v>
      </x:c>
    </x:row>
    <x:row r="48" ht="46" customHeight="1">
      <x:c r="A48" s="15" t="str">
        <x:v>AC43</x:v>
      </x:c>
      <x:c r="B48" s="15" t="str">
        <x:v>G2.5</x:v>
      </x:c>
      <x:c r="C48" s="17" t="str">
        <x:v>TV6</x:v>
      </x:c>
      <x:c r="D48" s="15" t="str">
        <x:v>SF68</x:v>
      </x:c>
      <x:c r="E48" s="15" t="str">
        <x:v>Nhu cầu 13 kg, đã xuất 10; tạo thêm nháp xuất.</x:v>
      </x:c>
      <x:c r="F48" s="15" t="str">
        <x:v>Đề xuất 3 kg; chốt hai lần không xuất thêm hai lần.</x:v>
      </x:c>
      <x:c r="G48" s="17"/>
      <x:c r="H48" s="17" t="str">
        <x:v>Chưa chạy</x:v>
      </x:c>
      <x:c r="I48" s="17"/>
      <x:c r="J48" s="15" t="n">
        <x:f>IF(AND(H48="Đạt",G48&lt;&gt;"",I48&lt;&gt;""),1,0)</x:f>
        <x:v>0</x:v>
      </x:c>
    </x:row>
    <x:row r="49" ht="46" customHeight="1">
      <x:c r="A49" s="15" t="str">
        <x:v>AC44</x:v>
      </x:c>
      <x:c r="B49" s="15" t="str">
        <x:v>G2.5</x:v>
      </x:c>
      <x:c r="C49" s="17" t="str">
        <x:v>TV6</x:v>
      </x:c>
      <x:c r="D49" s="15" t="str">
        <x:v>SF68,SF70</x:v>
      </x:c>
      <x:c r="E49" s="15" t="str">
        <x:v>Xuất ở giá vốn A, nhập giá B ngày sau; xem lại ngày cũ.</x:v>
      </x:c>
      <x:c r="F49" s="15" t="str">
        <x:v>Chi phí ngày cũ dùng giá trị ledger lúc xuất, không giá hiện tại.</x:v>
      </x:c>
      <x:c r="G49" s="17"/>
      <x:c r="H49" s="17" t="str">
        <x:v>Chưa chạy</x:v>
      </x:c>
      <x:c r="I49" s="17"/>
      <x:c r="J49" s="15" t="n">
        <x:f>IF(AND(H49="Đạt",G49&lt;&gt;"",I49&lt;&gt;""),1,0)</x:f>
        <x:v>0</x:v>
      </x:c>
    </x:row>
    <x:row r="50" ht="46" customHeight="1">
      <x:c r="A50" s="15" t="str">
        <x:v>AC45</x:v>
      </x:c>
      <x:c r="B50" s="15" t="str">
        <x:v>G2.5</x:v>
      </x:c>
      <x:c r="C50" s="17" t="str">
        <x:v>TV6</x:v>
      </x:c>
      <x:c r="D50" s="15" t="str">
        <x:v>SF69,SF70</x:v>
      </x:c>
      <x:c r="E50" s="15" t="str">
        <x:v>Số suất thực tế 0; ngày thiếu số liệu hoặc chưa chốt.</x:v>
      </x:c>
      <x:c r="F50" s="15" t="str">
        <x:v>Chi phí/suất null với lý do; không báo như ngày đã hoàn tất.</x:v>
      </x:c>
      <x:c r="G50" s="17"/>
      <x:c r="H50" s="17" t="str">
        <x:v>Chưa chạy</x:v>
      </x:c>
      <x:c r="I50" s="17"/>
      <x:c r="J50" s="15" t="n">
        <x:f>IF(AND(H50="Đạt",G50&lt;&gt;"",I50&lt;&gt;""),1,0)</x:f>
        <x:v>0</x:v>
      </x:c>
    </x:row>
    <x:row r="51" ht="46" customHeight="1">
      <x:c r="A51" s="15" t="str">
        <x:v>AC46</x:v>
      </x:c>
      <x:c r="B51" s="15" t="str">
        <x:v>G2.5</x:v>
      </x:c>
      <x:c r="C51" s="17" t="str">
        <x:v>TV6</x:v>
      </x:c>
      <x:c r="D51" s="15" t="str">
        <x:v>SF70,SF71</x:v>
      </x:c>
      <x:c r="E51" s="15" t="str">
        <x:v>Viewer ghi; mất mạng rồi retry; UI màn hình hẹp.</x:v>
      </x:c>
      <x:c r="F51" s="15" t="str">
        <x:v>Quyền server chặn ghi; không lặp chứng từ; thao tác và lỗi đọc được.</x:v>
      </x:c>
      <x:c r="G51" s="17"/>
      <x:c r="H51" s="17" t="str">
        <x:v>Chưa chạy</x:v>
      </x:c>
      <x:c r="I51" s="17"/>
      <x:c r="J51" s="15" t="n">
        <x:f>IF(AND(H51="Đạt",G51&lt;&gt;"",I51&lt;&gt;""),1,0)</x:f>
        <x:v>0</x:v>
      </x:c>
    </x:row>
    <x:row r="52" ht="46" customHeight="1">
      <x:c r="A52" s="15" t="str">
        <x:v>AC47</x:v>
      </x:c>
      <x:c r="B52" s="15" t="str">
        <x:v>G2.5</x:v>
      </x:c>
      <x:c r="C52" s="17" t="str">
        <x:v>TV6</x:v>
      </x:c>
      <x:c r="D52" s="15" t="str">
        <x:v>SF72</x:v>
      </x:c>
      <x:c r="E52" s="15" t="str">
        <x:v>Chạy 3 ngày gồm giảm suất, nhận thiếu và xuất bổ sung trên máy thứ hai.</x:v>
      </x:c>
      <x:c r="F52" s="15" t="str">
        <x:v>Tồn, ledger, lượng đặt/nhận/xuất và chi phí khớp đối chiếu độc lập; có log và ảnh.</x:v>
      </x:c>
      <x:c r="G52" s="17"/>
      <x:c r="H52" s="17" t="str">
        <x:v>Chưa chạy</x:v>
      </x:c>
      <x:c r="I52" s="17"/>
      <x:c r="J52" s="15" t="n">
        <x:f>IF(AND(H52="Đạt",G52&lt;&gt;"",I52&lt;&gt;""),1,0)</x:f>
        <x:v>0</x:v>
      </x:c>
    </x:row>
  </x:sheetData>
  <x:conditionalFormatting sqref="H6:H27">
    <x:cfRule type="containsText" dxfId="0" priority="1" operator="containsText" text="Không đạt"/>
  </x:conditionalFormatting>
  <x:conditionalFormatting sqref="H28:H52">
    <x:cfRule type="containsText" dxfId="5" priority="2" operator="containsText" text="Không đạt"/>
  </x:conditionalFormatting>
  <x:dataValidations count="4">
    <x:dataValidation type="list" sqref="C6:C27">
      <x:formula1>"TV1,TV2,TV3,TV4,TV5,TV6"</x:formula1>
    </x:dataValidation>
    <x:dataValidation type="list" sqref="H6:H27">
      <x:formula1>"Chưa chạy,Đạt,Không đạt,Bị chặn"</x:formula1>
    </x:dataValidation>
    <x:dataValidation type="list" sqref="H28:H52">
      <x:formula1>"Chưa chạy,Không đạt,Đạt"</x:formula1>
    </x:dataValidation>
    <x:dataValidation type="list" sqref="C28:C52">
      <x:formula1>"TV1,TV2,TV3,TV4,TV5,TV6"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aa5272c8f3400a"/>
  </x:tableParts>
</x:worksheet>
</file>
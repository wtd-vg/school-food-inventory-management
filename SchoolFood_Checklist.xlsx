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" sheetId="1" state="visible" r:id="rId1"/>
    <sheet xmlns:r="http://schemas.openxmlformats.org/officeDocument/2006/relationships" name="Cong viec" sheetId="2" state="visible" r:id="rId2"/>
    <sheet xmlns:r="http://schemas.openxmlformats.org/officeDocument/2006/relationships" name="Nghiem thu" sheetId="3" state="visible" r:id="rId3"/>
    <sheet xmlns:r="http://schemas.openxmlformats.org/officeDocument/2006/relationships" name="Loi" sheetId="4" state="visible" r:id="rId4"/>
  </sheets>
  <definedNames>
    <definedName name="_xlnm._FilterDatabase" localSheetId="1" hidden="1">'Cong viec'!$A$5:$O$57</definedName>
    <definedName name="_xlnm._FilterDatabase" localSheetId="2" hidden="1">'Nghiem thu'!$A$5:$K$49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A5F"/>
      <sz val="14"/>
    </font>
    <font>
      <i val="1"/>
      <color rgb="00555555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8EEF5"/>
      </patternFill>
    </fill>
  </fills>
  <borders count="2">
    <border>
      <left/>
      <right/>
      <top/>
      <bottom/>
      <diagonal/>
    </border>
    <border>
      <left style="thin">
        <color rgb="00C9D3DF"/>
      </left>
      <right style="thin">
        <color rgb="00C9D3DF"/>
      </right>
      <top style="thin">
        <color rgb="00C9D3DF"/>
      </top>
      <bottom style="thin">
        <color rgb="00C9D3D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 wrapText="1"/>
    </xf>
    <xf numFmtId="9" fontId="0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top" wrapText="1"/>
    </xf>
    <xf numFmtId="0" fontId="0" fillId="3" borderId="1" applyAlignment="1" pivotButton="0" quotePrefix="0" xfId="0">
      <alignment horizontal="center" vertical="top" wrapText="1"/>
    </xf>
  </cellXfs>
  <cellStyles count="1">
    <cellStyle name="Normal" xfId="0" builtinId="0" hidden="0"/>
  </cellStyles>
  <dxfs count="4">
    <dxf>
      <fill>
        <patternFill patternType="solid">
          <fgColor rgb="00FFF4CC"/>
        </patternFill>
      </fill>
    </dxf>
    <dxf>
      <fill>
        <patternFill patternType="solid">
          <fgColor rgb="00F8D0D0"/>
        </patternFill>
      </fill>
    </dxf>
    <dxf>
      <fill>
        <patternFill patternType="solid">
          <fgColor rgb="00DCE8FA"/>
        </patternFill>
      </fill>
    </dxf>
    <dxf>
      <fill>
        <patternFill patternType="solid">
          <fgColor rgb="00D6F0D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zoomScale="10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30" customWidth="1" min="3" max="3"/>
    <col width="9" customWidth="1" min="4" max="4"/>
    <col width="9" customWidth="1" min="5" max="5"/>
    <col width="9" customWidth="1" min="6" max="6"/>
    <col width="10" customWidth="1" min="7" max="7"/>
    <col width="9" customWidth="1" min="8" max="8"/>
    <col width="12" customWidth="1" min="9" max="9"/>
    <col width="12" customWidth="1" min="10" max="10"/>
    <col width="9" customWidth="1" min="11" max="11"/>
  </cols>
  <sheetData>
    <row r="1">
      <c r="A1" s="1" t="inlineStr">
        <is>
          <t>SchoolFood — tiến độ nhóm</t>
        </is>
      </c>
    </row>
    <row r="2">
      <c r="A2" s="2" t="inlineStr">
        <is>
          <t>Điền tên ở cột B. Số liệu tự tính từ sheet Cong viec, Nghiem thu, Loi; không sửa ô công thức.</t>
        </is>
      </c>
    </row>
    <row r="3">
      <c r="A3" s="2" t="inlineStr">
        <is>
          <t>Kế hoạch và chi tiết task: plan_final.md. Quy trình: CLAUDE.md. Không tự đánh dấu thay người khác.</t>
        </is>
      </c>
    </row>
    <row r="5" ht="32" customHeight="1">
      <c r="A5" s="3" t="inlineStr">
        <is>
          <t>Mã</t>
        </is>
      </c>
      <c r="B5" s="3" t="inlineStr">
        <is>
          <t>Tên thành viên</t>
        </is>
      </c>
      <c r="C5" s="3" t="inlineStr">
        <is>
          <t>Vai trò</t>
        </is>
      </c>
      <c r="D5" s="3" t="inlineStr">
        <is>
          <t>Số task</t>
        </is>
      </c>
      <c r="E5" s="3" t="inlineStr">
        <is>
          <t>Đã xong</t>
        </is>
      </c>
      <c r="F5" s="3" t="inlineStr">
        <is>
          <t>Tỷ lệ</t>
        </is>
      </c>
      <c r="G5" s="3" t="inlineStr">
        <is>
          <t>Đang làm</t>
        </is>
      </c>
      <c r="H5" s="3" t="inlineStr">
        <is>
          <t>Bị chặn</t>
        </is>
      </c>
      <c r="I5" s="3" t="inlineStr">
        <is>
          <t>Chờ mình review</t>
        </is>
      </c>
      <c r="J5" s="3" t="inlineStr">
        <is>
          <t>NT được giao</t>
        </is>
      </c>
      <c r="K5" s="3" t="inlineStr">
        <is>
          <t>NT đạt</t>
        </is>
      </c>
    </row>
    <row r="6">
      <c r="A6" s="4" t="inlineStr">
        <is>
          <t>TV1</t>
        </is>
      </c>
      <c r="B6" s="4" t="inlineStr"/>
      <c r="C6" s="4" t="inlineStr">
        <is>
          <t>Dữ liệu &amp; migration, tích hợp</t>
        </is>
      </c>
      <c r="D6" s="4">
        <f>COUNTIFS('Cong viec'!$D$6:$D$57,A6)</f>
        <v/>
      </c>
      <c r="E6" s="4">
        <f>SUMIFS('Cong viec'!$N$6:$N$57,'Cong viec'!$D$6:$D$57,A6)</f>
        <v/>
      </c>
      <c r="F6" s="5">
        <f>IF(D6=0,0,E6/D6)</f>
        <v/>
      </c>
      <c r="G6" s="4">
        <f>COUNTIFS('Cong viec'!$D$6:$D$57,A6,'Cong viec'!$J$6:$J$57,"Đang làm")</f>
        <v/>
      </c>
      <c r="H6" s="4">
        <f>COUNTIFS('Cong viec'!$D$6:$D$57,A6,'Cong viec'!$J$6:$J$57,"Bị chặn")</f>
        <v/>
      </c>
      <c r="I6" s="4">
        <f>COUNTIFS('Cong viec'!$E$6:$E$57,A6,'Cong viec'!$J$6:$J$57,"Chờ review")</f>
        <v/>
      </c>
      <c r="J6" s="4">
        <f>COUNTIFS('Nghiem thu'!$D$6:$D$49,A6)</f>
        <v/>
      </c>
      <c r="K6" s="4">
        <f>SUMIFS('Nghiem thu'!$K$6:$K$49,'Nghiem thu'!$D$6:$D$49,A6)</f>
        <v/>
      </c>
    </row>
    <row r="7">
      <c r="A7" s="4" t="inlineStr">
        <is>
          <t>TV2</t>
        </is>
      </c>
      <c r="B7" s="4" t="inlineStr"/>
      <c r="C7" s="4" t="inlineStr">
        <is>
          <t>Nghiệp vụ backend (service)</t>
        </is>
      </c>
      <c r="D7" s="4">
        <f>COUNTIFS('Cong viec'!$D$6:$D$57,A7)</f>
        <v/>
      </c>
      <c r="E7" s="4">
        <f>SUMIFS('Cong viec'!$N$6:$N$57,'Cong viec'!$D$6:$D$57,A7)</f>
        <v/>
      </c>
      <c r="F7" s="5">
        <f>IF(D7=0,0,E7/D7)</f>
        <v/>
      </c>
      <c r="G7" s="4">
        <f>COUNTIFS('Cong viec'!$D$6:$D$57,A7,'Cong viec'!$J$6:$J$57,"Đang làm")</f>
        <v/>
      </c>
      <c r="H7" s="4">
        <f>COUNTIFS('Cong viec'!$D$6:$D$57,A7,'Cong viec'!$J$6:$J$57,"Bị chặn")</f>
        <v/>
      </c>
      <c r="I7" s="4">
        <f>COUNTIFS('Cong viec'!$E$6:$E$57,A7,'Cong viec'!$J$6:$J$57,"Chờ review")</f>
        <v/>
      </c>
      <c r="J7" s="4">
        <f>COUNTIFS('Nghiem thu'!$D$6:$D$49,A7)</f>
        <v/>
      </c>
      <c r="K7" s="4">
        <f>SUMIFS('Nghiem thu'!$K$6:$K$49,'Nghiem thu'!$D$6:$D$49,A7)</f>
        <v/>
      </c>
    </row>
    <row r="8">
      <c r="A8" s="4" t="inlineStr">
        <is>
          <t>TV3</t>
        </is>
      </c>
      <c r="B8" s="4" t="inlineStr"/>
      <c r="C8" s="4" t="inlineStr">
        <is>
          <t>Giao diện chính, router</t>
        </is>
      </c>
      <c r="D8" s="4">
        <f>COUNTIFS('Cong viec'!$D$6:$D$57,A8)</f>
        <v/>
      </c>
      <c r="E8" s="4">
        <f>SUMIFS('Cong viec'!$N$6:$N$57,'Cong viec'!$D$6:$D$57,A8)</f>
        <v/>
      </c>
      <c r="F8" s="5">
        <f>IF(D8=0,0,E8/D8)</f>
        <v/>
      </c>
      <c r="G8" s="4">
        <f>COUNTIFS('Cong viec'!$D$6:$D$57,A8,'Cong viec'!$J$6:$J$57,"Đang làm")</f>
        <v/>
      </c>
      <c r="H8" s="4">
        <f>COUNTIFS('Cong viec'!$D$6:$D$57,A8,'Cong viec'!$J$6:$J$57,"Bị chặn")</f>
        <v/>
      </c>
      <c r="I8" s="4">
        <f>COUNTIFS('Cong viec'!$E$6:$E$57,A8,'Cong viec'!$J$6:$J$57,"Chờ review")</f>
        <v/>
      </c>
      <c r="J8" s="4">
        <f>COUNTIFS('Nghiem thu'!$D$6:$D$49,A8)</f>
        <v/>
      </c>
      <c r="K8" s="4">
        <f>SUMIFS('Nghiem thu'!$K$6:$K$49,'Nghiem thu'!$D$6:$D$49,A8)</f>
        <v/>
      </c>
    </row>
    <row r="9">
      <c r="A9" s="4" t="inlineStr">
        <is>
          <t>TV4</t>
        </is>
      </c>
      <c r="B9" s="4" t="inlineStr"/>
      <c r="C9" s="4" t="inlineStr">
        <is>
          <t>API &amp; quyền</t>
        </is>
      </c>
      <c r="D9" s="4">
        <f>COUNTIFS('Cong viec'!$D$6:$D$57,A9)</f>
        <v/>
      </c>
      <c r="E9" s="4">
        <f>SUMIFS('Cong viec'!$N$6:$N$57,'Cong viec'!$D$6:$D$57,A9)</f>
        <v/>
      </c>
      <c r="F9" s="5">
        <f>IF(D9=0,0,E9/D9)</f>
        <v/>
      </c>
      <c r="G9" s="4">
        <f>COUNTIFS('Cong viec'!$D$6:$D$57,A9,'Cong viec'!$J$6:$J$57,"Đang làm")</f>
        <v/>
      </c>
      <c r="H9" s="4">
        <f>COUNTIFS('Cong viec'!$D$6:$D$57,A9,'Cong viec'!$J$6:$J$57,"Bị chặn")</f>
        <v/>
      </c>
      <c r="I9" s="4">
        <f>COUNTIFS('Cong viec'!$E$6:$E$57,A9,'Cong viec'!$J$6:$J$57,"Chờ review")</f>
        <v/>
      </c>
      <c r="J9" s="4">
        <f>COUNTIFS('Nghiem thu'!$D$6:$D$49,A9)</f>
        <v/>
      </c>
      <c r="K9" s="4">
        <f>SUMIFS('Nghiem thu'!$K$6:$K$49,'Nghiem thu'!$D$6:$D$49,A9)</f>
        <v/>
      </c>
    </row>
    <row r="10">
      <c r="A10" s="4" t="inlineStr">
        <is>
          <t>TV5</t>
        </is>
      </c>
      <c r="B10" s="4" t="inlineStr"/>
      <c r="C10" s="4" t="inlineStr">
        <is>
          <t>Giao diện bổ sung, kiểm thử UI</t>
        </is>
      </c>
      <c r="D10" s="4">
        <f>COUNTIFS('Cong viec'!$D$6:$D$57,A10)</f>
        <v/>
      </c>
      <c r="E10" s="4">
        <f>SUMIFS('Cong viec'!$N$6:$N$57,'Cong viec'!$D$6:$D$57,A10)</f>
        <v/>
      </c>
      <c r="F10" s="5">
        <f>IF(D10=0,0,E10/D10)</f>
        <v/>
      </c>
      <c r="G10" s="4">
        <f>COUNTIFS('Cong viec'!$D$6:$D$57,A10,'Cong viec'!$J$6:$J$57,"Đang làm")</f>
        <v/>
      </c>
      <c r="H10" s="4">
        <f>COUNTIFS('Cong viec'!$D$6:$D$57,A10,'Cong viec'!$J$6:$J$57,"Bị chặn")</f>
        <v/>
      </c>
      <c r="I10" s="4">
        <f>COUNTIFS('Cong viec'!$E$6:$E$57,A10,'Cong viec'!$J$6:$J$57,"Chờ review")</f>
        <v/>
      </c>
      <c r="J10" s="4">
        <f>COUNTIFS('Nghiem thu'!$D$6:$D$49,A10)</f>
        <v/>
      </c>
      <c r="K10" s="4">
        <f>SUMIFS('Nghiem thu'!$K$6:$K$49,'Nghiem thu'!$D$6:$D$49,A10)</f>
        <v/>
      </c>
    </row>
    <row r="11">
      <c r="A11" s="4" t="inlineStr">
        <is>
          <t>TV6</t>
        </is>
      </c>
      <c r="B11" s="4" t="inlineStr"/>
      <c r="C11" s="4" t="inlineStr">
        <is>
          <t>Audit, test, vận hành, nghiệm thu</t>
        </is>
      </c>
      <c r="D11" s="4">
        <f>COUNTIFS('Cong viec'!$D$6:$D$57,A11)</f>
        <v/>
      </c>
      <c r="E11" s="4">
        <f>SUMIFS('Cong viec'!$N$6:$N$57,'Cong viec'!$D$6:$D$57,A11)</f>
        <v/>
      </c>
      <c r="F11" s="5">
        <f>IF(D11=0,0,E11/D11)</f>
        <v/>
      </c>
      <c r="G11" s="4">
        <f>COUNTIFS('Cong viec'!$D$6:$D$57,A11,'Cong viec'!$J$6:$J$57,"Đang làm")</f>
        <v/>
      </c>
      <c r="H11" s="4">
        <f>COUNTIFS('Cong viec'!$D$6:$D$57,A11,'Cong viec'!$J$6:$J$57,"Bị chặn")</f>
        <v/>
      </c>
      <c r="I11" s="4">
        <f>COUNTIFS('Cong viec'!$E$6:$E$57,A11,'Cong viec'!$J$6:$J$57,"Chờ review")</f>
        <v/>
      </c>
      <c r="J11" s="4">
        <f>COUNTIFS('Nghiem thu'!$D$6:$D$49,A11)</f>
        <v/>
      </c>
      <c r="K11" s="4">
        <f>SUMIFS('Nghiem thu'!$K$6:$K$49,'Nghiem thu'!$D$6:$D$49,A11)</f>
        <v/>
      </c>
    </row>
    <row r="12">
      <c r="A12" s="4" t="n"/>
      <c r="B12" s="4" t="n"/>
      <c r="C12" s="6" t="inlineStr">
        <is>
          <t>Tổng</t>
        </is>
      </c>
      <c r="D12" s="6">
        <f>SUM(D6:D11)</f>
        <v/>
      </c>
      <c r="E12" s="6">
        <f>SUM(E6:E11)</f>
        <v/>
      </c>
      <c r="F12" s="5">
        <f>IF(D12=0,0,E12/D12)</f>
        <v/>
      </c>
      <c r="G12" s="6">
        <f>SUM(G6:G11)</f>
        <v/>
      </c>
      <c r="H12" s="6">
        <f>SUM(H6:H11)</f>
        <v/>
      </c>
      <c r="I12" s="6">
        <f>SUM(I6:I11)</f>
        <v/>
      </c>
      <c r="J12" s="6">
        <f>SUM(J6:J11)</f>
        <v/>
      </c>
      <c r="K12" s="6">
        <f>SUM(K6:K11)</f>
        <v/>
      </c>
    </row>
    <row r="14">
      <c r="A14" s="1" t="inlineStr">
        <is>
          <t>Theo đợt</t>
        </is>
      </c>
    </row>
    <row r="15" ht="32" customHeight="1">
      <c r="A15" s="3" t="inlineStr">
        <is>
          <t>Đợt</t>
        </is>
      </c>
      <c r="B15" s="3" t="inlineStr">
        <is>
          <t>Nội dung</t>
        </is>
      </c>
      <c r="C15" s="3" t="inlineStr"/>
      <c r="D15" s="3" t="inlineStr">
        <is>
          <t>Số task</t>
        </is>
      </c>
      <c r="E15" s="3" t="inlineStr">
        <is>
          <t>Đã xong</t>
        </is>
      </c>
      <c r="F15" s="3" t="inlineStr">
        <is>
          <t>Tỷ lệ</t>
        </is>
      </c>
      <c r="G15" s="3" t="inlineStr">
        <is>
          <t>NT</t>
        </is>
      </c>
      <c r="H15" s="3" t="inlineStr">
        <is>
          <t>NT đạt</t>
        </is>
      </c>
      <c r="I15" s="3" t="inlineStr">
        <is>
          <t>Lỗi còn mở</t>
        </is>
      </c>
    </row>
    <row r="16">
      <c r="A16" s="4" t="inlineStr">
        <is>
          <t>Đợt 1</t>
        </is>
      </c>
      <c r="B16" s="4" t="inlineStr">
        <is>
          <t>Bảo mật, thực đơn cố định, email phụ huynh, deploy (BE/FE/SF39–42/SF48/SF54)</t>
        </is>
      </c>
      <c r="C16" s="4" t="n"/>
      <c r="D16" s="4">
        <f>COUNTIFS('Cong viec'!$B$6:$B$57,"Đợt 1")</f>
        <v/>
      </c>
      <c r="E16" s="4">
        <f>SUMIFS('Cong viec'!$N$6:$N$57,'Cong viec'!$B$6:$B$57,"Đợt 1")</f>
        <v/>
      </c>
      <c r="F16" s="5">
        <f>IF(D16=0,0,E16/D16)</f>
        <v/>
      </c>
      <c r="G16" s="4">
        <f>COUNTIFS('Nghiem thu'!$B$6:$B$49,"PR*")+COUNTIFS('Nghiem thu'!$B$6:$B$49,"G2.1*")</f>
        <v/>
      </c>
      <c r="H16" s="4">
        <f>SUMIFS('Nghiem thu'!$K$6:$K$49,'Nghiem thu'!$B$6:$B$49,"PR*")+SUMIFS('Nghiem thu'!$K$6:$K$49,'Nghiem thu'!$B$6:$B$49,"G2.1*")</f>
        <v/>
      </c>
      <c r="I16" s="4">
        <f>COUNTIFS('Loi'!$F$5:$F$35,"&lt;&gt;Đóng",'Loi'!$A$5:$A$35,"ISSUE*")</f>
        <v/>
      </c>
    </row>
    <row r="17">
      <c r="A17" s="4" t="inlineStr">
        <is>
          <t>Đợt 2</t>
        </is>
      </c>
      <c r="B17" s="4" t="inlineStr">
        <is>
          <t>Chuỗi G2: nhu cầu → đặt → nhận → xuất → chi phí (SF55–SF72)</t>
        </is>
      </c>
      <c r="C17" s="4" t="n"/>
      <c r="D17" s="4">
        <f>COUNTIFS('Cong viec'!$B$6:$B$57,"Đợt 2")</f>
        <v/>
      </c>
      <c r="E17" s="4">
        <f>SUMIFS('Cong viec'!$N$6:$N$57,'Cong viec'!$B$6:$B$57,"Đợt 2")</f>
        <v/>
      </c>
      <c r="F17" s="5">
        <f>IF(D17=0,0,E17/D17)</f>
        <v/>
      </c>
      <c r="G17" s="4">
        <f>COUNTIFS('Nghiem thu'!$B$6:$B$49,"G2.3*")+COUNTIFS('Nghiem thu'!$B$6:$B$49,"G2.4*")+COUNTIFS('Nghiem thu'!$B$6:$B$49,"G2.5*")</f>
        <v/>
      </c>
      <c r="H17" s="4">
        <f>SUMIFS('Nghiem thu'!$K$6:$K$49,'Nghiem thu'!$B$6:$B$49,"G2.3*")+SUMIFS('Nghiem thu'!$K$6:$K$49,'Nghiem thu'!$B$6:$B$49,"G2.4*")+SUMIFS('Nghiem thu'!$K$6:$K$49,'Nghiem thu'!$B$6:$B$49,"G2.5*")</f>
        <v/>
      </c>
      <c r="I17" s="4" t="inlineStr"/>
    </row>
  </sheetData>
  <mergeCells count="2">
    <mergeCell ref="B16:C16"/>
    <mergeCell ref="B17:C17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7"/>
  <sheetViews>
    <sheetView zoomScale="10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9" customWidth="1" min="4" max="4"/>
    <col width="9" customWidth="1" min="5" max="5"/>
    <col width="48" customWidth="1" min="6" max="6"/>
    <col width="16" customWidth="1" min="7" max="7"/>
    <col width="52" customWidth="1" min="8" max="8"/>
    <col width="10" customWidth="1" min="9" max="9"/>
    <col width="13" customWidth="1" min="10" max="10"/>
    <col width="10" customWidth="1" min="11" max="11"/>
    <col width="28" customWidth="1" min="12" max="12"/>
    <col width="28" customWidth="1" min="13" max="13"/>
    <col width="10" customWidth="1" min="14" max="14"/>
    <col width="16" customWidth="1" min="15" max="15"/>
  </cols>
  <sheetData>
    <row r="1">
      <c r="A1" s="1" t="inlineStr">
        <is>
          <t>SchoolFood — công việc theo plan_final.md (cập nhật 01/10/2026)</t>
        </is>
      </c>
    </row>
    <row r="2">
      <c r="A2" s="2" t="inlineStr">
        <is>
          <t>Lọc cột Người làm để thấy việc của mình. Người làm cập nhật Trạng thái, PR/bằng chứng; Reviewer cập nhật Review.</t>
        </is>
      </c>
    </row>
    <row r="3">
      <c r="A3" s="2" t="inlineStr">
        <is>
          <t>Được tính xong = Hoàn tất + Review Đạt + có bằng chứng + reviewer khác người làm. Chi tiết từng task: plan_final.md §10.</t>
        </is>
      </c>
    </row>
    <row r="5" ht="32" customHeight="1">
      <c r="A5" s="3" t="inlineStr">
        <is>
          <t>Mã</t>
        </is>
      </c>
      <c r="B5" s="3" t="inlineStr">
        <is>
          <t>Đợt</t>
        </is>
      </c>
      <c r="C5" s="3" t="inlineStr">
        <is>
          <t>Nhóm</t>
        </is>
      </c>
      <c r="D5" s="3" t="inlineStr">
        <is>
          <t>Người làm</t>
        </is>
      </c>
      <c r="E5" s="3" t="inlineStr">
        <is>
          <t>Reviewer</t>
        </is>
      </c>
      <c r="F5" s="3" t="inlineStr">
        <is>
          <t>Công việc</t>
        </is>
      </c>
      <c r="G5" s="3" t="inlineStr">
        <is>
          <t>Cần xong trước</t>
        </is>
      </c>
      <c r="H5" s="3" t="inlineStr">
        <is>
          <t>Điều kiện xong</t>
        </is>
      </c>
      <c r="I5" s="3" t="inlineStr">
        <is>
          <t>Ngày dự kiến</t>
        </is>
      </c>
      <c r="J5" s="3" t="inlineStr">
        <is>
          <t>Trạng thái</t>
        </is>
      </c>
      <c r="K5" s="3" t="inlineStr">
        <is>
          <t>Review</t>
        </is>
      </c>
      <c r="L5" s="3" t="inlineStr">
        <is>
          <t>PR / bằng chứng</t>
        </is>
      </c>
      <c r="M5" s="3" t="inlineStr">
        <is>
          <t>Ghi chú, trở ngại</t>
        </is>
      </c>
      <c r="N5" s="3" t="inlineStr">
        <is>
          <t>Được tính xong</t>
        </is>
      </c>
      <c r="O5" s="3" t="inlineStr">
        <is>
          <t>Có thể bắt đầu</t>
        </is>
      </c>
    </row>
    <row r="6">
      <c r="A6" s="7" t="inlineStr">
        <is>
          <t>BE-01</t>
        </is>
      </c>
      <c r="B6" s="7" t="inlineStr">
        <is>
          <t>Đợt 1</t>
        </is>
      </c>
      <c r="C6" s="7" t="inlineStr">
        <is>
          <t>Backend</t>
        </is>
      </c>
      <c r="D6" s="7" t="inlineStr">
        <is>
          <t>TV1</t>
        </is>
      </c>
      <c r="E6" s="7" t="inlineStr">
        <is>
          <t>TV6</t>
        </is>
      </c>
      <c r="F6" s="4" t="inlineStr">
        <is>
          <t>ISSUE-001: lệnh sf_legacy_db_check nâng cấp DB cũ (f00048d)</t>
        </is>
      </c>
      <c r="G6" s="4" t="inlineStr">
        <is>
          <t>Không</t>
        </is>
      </c>
      <c r="H6" s="4" t="inlineStr">
        <is>
          <t>DB sạch và DB legacy rỗng migrate tới head; ledger audit --strict đạt; DB legacy có dữ liệu bị từ chối rõ</t>
        </is>
      </c>
      <c r="I6" s="7" t="inlineStr">
        <is>
          <t>N2–N5</t>
        </is>
      </c>
      <c r="J6" s="7" t="inlineStr">
        <is>
          <t>Chưa làm</t>
        </is>
      </c>
      <c r="K6" s="7" t="inlineStr">
        <is>
          <t>Chưa</t>
        </is>
      </c>
      <c r="L6" s="4" t="inlineStr"/>
      <c r="M6" s="4" t="inlineStr"/>
      <c r="N6" s="7">
        <f>IF(AND(J6="Hoàn tất",K6="Đạt",L6&lt;&gt;"",D6&lt;&gt;E6),1,0)</f>
        <v/>
      </c>
      <c r="O6" s="7">
        <f>IF(N6=1,"Xong","Có thể bắt đầu")</f>
        <v/>
      </c>
    </row>
    <row r="7">
      <c r="A7" s="7" t="inlineStr">
        <is>
          <t>BE-02</t>
        </is>
      </c>
      <c r="B7" s="7" t="inlineStr">
        <is>
          <t>Đợt 1</t>
        </is>
      </c>
      <c r="C7" s="7" t="inlineStr">
        <is>
          <t>Backend</t>
        </is>
      </c>
      <c r="D7" s="7" t="inlineStr">
        <is>
          <t>TV1</t>
        </is>
      </c>
      <c r="E7" s="7" t="inlineStr">
        <is>
          <t>TV6</t>
        </is>
      </c>
      <c r="F7" s="4" t="inlineStr">
        <is>
          <t>Migration 0014: group manager/principal, LoginThrottle, AuditLog + trigger append-only</t>
        </is>
      </c>
      <c r="G7" s="4" t="inlineStr">
        <is>
          <t>Không</t>
        </is>
      </c>
      <c r="H7" s="4" t="inlineStr">
        <is>
          <t>UPDATE/DELETE AuditLog bị trigger chặn; migrate tiến/lùi trên DB sạch</t>
        </is>
      </c>
      <c r="I7" s="7" t="inlineStr">
        <is>
          <t>N1</t>
        </is>
      </c>
      <c r="J7" s="7" t="inlineStr">
        <is>
          <t>Chưa làm</t>
        </is>
      </c>
      <c r="K7" s="7" t="inlineStr">
        <is>
          <t>Chưa</t>
        </is>
      </c>
      <c r="L7" s="4" t="inlineStr"/>
      <c r="M7" s="4" t="inlineStr"/>
      <c r="N7" s="7">
        <f>IF(AND(J7="Hoàn tất",K7="Đạt",L7&lt;&gt;"",D7&lt;&gt;E7),1,0)</f>
        <v/>
      </c>
      <c r="O7" s="7">
        <f>IF(N7=1,"Xong","Có thể bắt đầu")</f>
        <v/>
      </c>
    </row>
    <row r="8">
      <c r="A8" s="7" t="inlineStr">
        <is>
          <t>BE-03</t>
        </is>
      </c>
      <c r="B8" s="7" t="inlineStr">
        <is>
          <t>Đợt 1</t>
        </is>
      </c>
      <c r="C8" s="7" t="inlineStr">
        <is>
          <t>Backend</t>
        </is>
      </c>
      <c r="D8" s="7" t="inlineStr">
        <is>
          <t>TV1</t>
        </is>
      </c>
      <c r="E8" s="7" t="inlineStr">
        <is>
          <t>TV6</t>
        </is>
      </c>
      <c r="F8" s="4" t="inlineStr">
        <is>
          <t>Migration 0015–0016 (SF49): công thức Decimal(14,6), MenuVersion/Item, SchoolHoliday, DayMenuSnapshot</t>
        </is>
      </c>
      <c r="G8" s="4" t="inlineStr">
        <is>
          <t>BE-02</t>
        </is>
      </c>
      <c r="H8" s="4" t="inlineStr">
        <is>
          <t>Lưu được 0.0004 kg; quantity 0 bị chặn; version đã hiệu lực và snapshot bất biến</t>
        </is>
      </c>
      <c r="I8" s="7" t="inlineStr">
        <is>
          <t>N3</t>
        </is>
      </c>
      <c r="J8" s="7" t="inlineStr">
        <is>
          <t>Chưa làm</t>
        </is>
      </c>
      <c r="K8" s="7" t="inlineStr">
        <is>
          <t>Chưa</t>
        </is>
      </c>
      <c r="L8" s="4" t="inlineStr"/>
      <c r="M8" s="4" t="inlineStr"/>
      <c r="N8" s="7">
        <f>IF(AND(J8="Hoàn tất",K8="Đạt",L8&lt;&gt;"",D8&lt;&gt;E8),1,0)</f>
        <v/>
      </c>
      <c r="O8" s="7">
        <f>IF(N8=1,"Xong",IF(AND(SUMIFS($N$6:$N$57,$A$6:$A$57,"BE-02")=1),"Có thể bắt đầu","Chờ task trước"))</f>
        <v/>
      </c>
    </row>
    <row r="9">
      <c r="A9" s="7" t="inlineStr">
        <is>
          <t>BE-04</t>
        </is>
      </c>
      <c r="B9" s="7" t="inlineStr">
        <is>
          <t>Đợt 1</t>
        </is>
      </c>
      <c r="C9" s="7" t="inlineStr">
        <is>
          <t>Backend</t>
        </is>
      </c>
      <c r="D9" s="7" t="inlineStr">
        <is>
          <t>TV1</t>
        </is>
      </c>
      <c r="E9" s="7" t="inlineStr">
        <is>
          <t>TV6</t>
        </is>
      </c>
      <c r="F9" s="4" t="inlineStr">
        <is>
          <t>crypto_fields.py + migration 0017–0018: Student, ParentContact (email mã hóa), NotificationLog</t>
        </is>
      </c>
      <c r="G9" s="4" t="inlineStr">
        <is>
          <t>BE-03</t>
        </is>
      </c>
      <c r="H9" s="4" t="inlineStr">
        <is>
          <t>DB không chứa email rõ; mã hóa/giải mã đúng; xoay khóa vẫn đọc bản cũ</t>
        </is>
      </c>
      <c r="I9" s="7" t="inlineStr">
        <is>
          <t>N4</t>
        </is>
      </c>
      <c r="J9" s="7" t="inlineStr">
        <is>
          <t>Chưa làm</t>
        </is>
      </c>
      <c r="K9" s="7" t="inlineStr">
        <is>
          <t>Chưa</t>
        </is>
      </c>
      <c r="L9" s="4" t="inlineStr"/>
      <c r="M9" s="4" t="inlineStr"/>
      <c r="N9" s="7">
        <f>IF(AND(J9="Hoàn tất",K9="Đạt",L9&lt;&gt;"",D9&lt;&gt;E9),1,0)</f>
        <v/>
      </c>
      <c r="O9" s="7">
        <f>IF(N9=1,"Xong",IF(AND(SUMIFS($N$6:$N$57,$A$6:$A$57,"BE-03")=1),"Có thể bắt đầu","Chờ task trước"))</f>
        <v/>
      </c>
    </row>
    <row r="10">
      <c r="A10" s="7" t="inlineStr">
        <is>
          <t>BE-05</t>
        </is>
      </c>
      <c r="B10" s="7" t="inlineStr">
        <is>
          <t>Đợt 1</t>
        </is>
      </c>
      <c r="C10" s="7" t="inlineStr">
        <is>
          <t>Backend</t>
        </is>
      </c>
      <c r="D10" s="7" t="inlineStr">
        <is>
          <t>TV2</t>
        </is>
      </c>
      <c r="E10" s="7" t="inlineStr">
        <is>
          <t>TV4</t>
        </is>
      </c>
      <c r="F10" s="4" t="inlineStr">
        <is>
          <t>ISSUE-007: làm tròn tiền thống nhất (line_value, money)</t>
        </is>
      </c>
      <c r="G10" s="4" t="inlineStr">
        <is>
          <t>Không</t>
        </is>
      </c>
      <c r="H10" s="4" t="inlineStr">
        <is>
          <t>0.500 × 0.01 = 0.01 ở nháp, chi tiết, sổ kho, báo cáo; bỏ hết round()</t>
        </is>
      </c>
      <c r="I10" s="7" t="inlineStr">
        <is>
          <t>N1</t>
        </is>
      </c>
      <c r="J10" s="7" t="inlineStr">
        <is>
          <t>Chưa làm</t>
        </is>
      </c>
      <c r="K10" s="7" t="inlineStr">
        <is>
          <t>Chưa</t>
        </is>
      </c>
      <c r="L10" s="4" t="inlineStr"/>
      <c r="M10" s="4" t="inlineStr"/>
      <c r="N10" s="7">
        <f>IF(AND(J10="Hoàn tất",K10="Đạt",L10&lt;&gt;"",D10&lt;&gt;E10),1,0)</f>
        <v/>
      </c>
      <c r="O10" s="7">
        <f>IF(N10=1,"Xong","Có thể bắt đầu")</f>
        <v/>
      </c>
    </row>
    <row r="11">
      <c r="A11" s="7" t="inlineStr">
        <is>
          <t>BE-06</t>
        </is>
      </c>
      <c r="B11" s="7" t="inlineStr">
        <is>
          <t>Đợt 1</t>
        </is>
      </c>
      <c r="C11" s="7" t="inlineStr">
        <is>
          <t>Backend</t>
        </is>
      </c>
      <c r="D11" s="7" t="inlineStr">
        <is>
          <t>TV2</t>
        </is>
      </c>
      <c r="E11" s="7" t="inlineStr">
        <is>
          <t>TV4</t>
        </is>
      </c>
      <c r="F11" s="4" t="inlineStr">
        <is>
          <t>ISSUE-003 + SF50: quy đổi g/kg, ml/lít; thay công thức món (recipe_services.py)</t>
        </is>
      </c>
      <c r="G11" s="4" t="inlineStr">
        <is>
          <t>BE-03</t>
        </is>
      </c>
      <c r="H11" s="4" t="inlineStr">
        <is>
          <t>60 g → 0.060000 kg; 0,4 g giữ đúng; 0,0004 g, kg↔lít, trùng food, float → 400</t>
        </is>
      </c>
      <c r="I11" s="7" t="inlineStr">
        <is>
          <t>N2–N3</t>
        </is>
      </c>
      <c r="J11" s="7" t="inlineStr">
        <is>
          <t>Chưa làm</t>
        </is>
      </c>
      <c r="K11" s="7" t="inlineStr">
        <is>
          <t>Chưa</t>
        </is>
      </c>
      <c r="L11" s="4" t="inlineStr"/>
      <c r="M11" s="4" t="inlineStr"/>
      <c r="N11" s="7">
        <f>IF(AND(J11="Hoàn tất",K11="Đạt",L11&lt;&gt;"",D11&lt;&gt;E11),1,0)</f>
        <v/>
      </c>
      <c r="O11" s="7">
        <f>IF(N11=1,"Xong",IF(AND(SUMIFS($N$6:$N$57,$A$6:$A$57,"BE-03")=1),"Có thể bắt đầu","Chờ task trước"))</f>
        <v/>
      </c>
    </row>
    <row r="12">
      <c r="A12" s="7" t="inlineStr">
        <is>
          <t>BE-07</t>
        </is>
      </c>
      <c r="B12" s="7" t="inlineStr">
        <is>
          <t>Đợt 1</t>
        </is>
      </c>
      <c r="C12" s="7" t="inlineStr">
        <is>
          <t>Backend</t>
        </is>
      </c>
      <c r="D12" s="7" t="inlineStr">
        <is>
          <t>TV2</t>
        </is>
      </c>
      <c r="E12" s="7" t="inlineStr">
        <is>
          <t>TV4</t>
        </is>
      </c>
      <c r="F12" s="4" t="inlineStr">
        <is>
          <t>SF52: menu_services.py thực đơn cố định T2–T6, ngày nghỉ, snapshot ngày</t>
        </is>
      </c>
      <c r="G12" s="4" t="inlineStr">
        <is>
          <t>BE-03</t>
        </is>
      </c>
      <c r="H12" s="4" t="inlineStr">
        <is>
          <t>Version đúng ngày hiệu lực; snapshot không đổi khi sửa công thức; T7/CN/lễ = nghỉ; chặn version lùi ngày/thiếu thứ</t>
        </is>
      </c>
      <c r="I12" s="7" t="inlineStr">
        <is>
          <t>N4–N5</t>
        </is>
      </c>
      <c r="J12" s="7" t="inlineStr">
        <is>
          <t>Chưa làm</t>
        </is>
      </c>
      <c r="K12" s="7" t="inlineStr">
        <is>
          <t>Chưa</t>
        </is>
      </c>
      <c r="L12" s="4" t="inlineStr"/>
      <c r="M12" s="4" t="inlineStr"/>
      <c r="N12" s="7">
        <f>IF(AND(J12="Hoàn tất",K12="Đạt",L12&lt;&gt;"",D12&lt;&gt;E12),1,0)</f>
        <v/>
      </c>
      <c r="O12" s="7">
        <f>IF(N12=1,"Xong",IF(AND(SUMIFS($N$6:$N$57,$A$6:$A$57,"BE-03")=1),"Có thể bắt đầu","Chờ task trước"))</f>
        <v/>
      </c>
    </row>
    <row r="13">
      <c r="A13" s="7" t="inlineStr">
        <is>
          <t>BE-08</t>
        </is>
      </c>
      <c r="B13" s="7" t="inlineStr">
        <is>
          <t>Đợt 1</t>
        </is>
      </c>
      <c r="C13" s="7" t="inlineStr">
        <is>
          <t>Backend</t>
        </is>
      </c>
      <c r="D13" s="7" t="inlineStr">
        <is>
          <t>TV2</t>
        </is>
      </c>
      <c r="E13" s="7" t="inlineStr">
        <is>
          <t>TV4</t>
        </is>
      </c>
      <c r="F13" s="4" t="inlineStr">
        <is>
          <t>Email thực đơn 6h30: notifications.py, mailer.py, send_daily_menu, run_scheduler, API hủy nhận</t>
        </is>
      </c>
      <c r="G13" s="4" t="inlineStr">
        <is>
          <t>BE-04, BE-07</t>
        </is>
      </c>
      <c r="H13" s="4" t="inlineStr">
        <is>
          <t>1 thư/email/ngày, không lộ địa chỉ người khác; chạy lại không gửi trùng; ngày nghỉ skipped; hủy nhận chạy; dry-run không gửi</t>
        </is>
      </c>
      <c r="I13" s="7" t="inlineStr">
        <is>
          <t>N6–N7</t>
        </is>
      </c>
      <c r="J13" s="7" t="inlineStr">
        <is>
          <t>Chưa làm</t>
        </is>
      </c>
      <c r="K13" s="7" t="inlineStr">
        <is>
          <t>Chưa</t>
        </is>
      </c>
      <c r="L13" s="4" t="inlineStr"/>
      <c r="M13" s="4" t="inlineStr"/>
      <c r="N13" s="7">
        <f>IF(AND(J13="Hoàn tất",K13="Đạt",L13&lt;&gt;"",D13&lt;&gt;E13),1,0)</f>
        <v/>
      </c>
      <c r="O13" s="7">
        <f>IF(N13=1,"Xong",IF(AND(SUMIFS($N$6:$N$57,$A$6:$A$57,"BE-04")=1,SUMIFS($N$6:$N$57,$A$6:$A$57,"BE-07")=1),"Có thể bắt đầu","Chờ task trước"))</f>
        <v/>
      </c>
    </row>
    <row r="14">
      <c r="A14" s="7" t="inlineStr">
        <is>
          <t>BE-09</t>
        </is>
      </c>
      <c r="B14" s="7" t="inlineStr">
        <is>
          <t>Đợt 1</t>
        </is>
      </c>
      <c r="C14" s="7" t="inlineStr">
        <is>
          <t>Backend</t>
        </is>
      </c>
      <c r="D14" s="7" t="inlineStr">
        <is>
          <t>TV4</t>
        </is>
      </c>
      <c r="E14" s="7" t="inlineStr">
        <is>
          <t>TV2</t>
        </is>
      </c>
      <c r="F14" s="4" t="inlineStr">
        <is>
          <t>http_input.py + @json_api; áp dụng cho mọi view (ISSUE-004/005/006/008)</t>
        </is>
      </c>
      <c r="G14" s="4" t="inlineStr">
        <is>
          <t>Không</t>
        </is>
      </c>
      <c r="H14" s="4" t="inlineStr">
        <is>
          <t>JSON mảng/null, "false", float, ngày sai, số lẻ vượt scale → 400 JSON, không ghi dòng nào; test cũ xanh</t>
        </is>
      </c>
      <c r="I14" s="7" t="inlineStr">
        <is>
          <t>N1</t>
        </is>
      </c>
      <c r="J14" s="7" t="inlineStr">
        <is>
          <t>Chưa làm</t>
        </is>
      </c>
      <c r="K14" s="7" t="inlineStr">
        <is>
          <t>Chưa</t>
        </is>
      </c>
      <c r="L14" s="4" t="inlineStr"/>
      <c r="M14" s="4" t="inlineStr"/>
      <c r="N14" s="7">
        <f>IF(AND(J14="Hoàn tất",K14="Đạt",L14&lt;&gt;"",D14&lt;&gt;E14),1,0)</f>
        <v/>
      </c>
      <c r="O14" s="7">
        <f>IF(N14=1,"Xong","Có thể bắt đầu")</f>
        <v/>
      </c>
    </row>
    <row r="15">
      <c r="A15" s="7" t="inlineStr">
        <is>
          <t>BE-10</t>
        </is>
      </c>
      <c r="B15" s="7" t="inlineStr">
        <is>
          <t>Đợt 1</t>
        </is>
      </c>
      <c r="C15" s="7" t="inlineStr">
        <is>
          <t>Backend</t>
        </is>
      </c>
      <c r="D15" s="7" t="inlineStr">
        <is>
          <t>TV4</t>
        </is>
      </c>
      <c r="E15" s="7" t="inlineStr">
        <is>
          <t>TV2</t>
        </is>
      </c>
      <c r="F15" s="4" t="inlineStr">
        <is>
          <t>Vai trò Quản lý/Hiệu trưởng, decorator, khóa đăng nhập sai, phiên 30'/12h, validator mật khẩu</t>
        </is>
      </c>
      <c r="G15" s="4" t="inlineStr">
        <is>
          <t>BE-02, BE-09</t>
        </is>
      </c>
      <c r="H15" s="4" t="inlineStr">
        <is>
          <t>Sai 5 lần → 429; 20 lần/IP → 429; phiên quá hạn → 401; principal ghi → 403; user không vai trò → 403</t>
        </is>
      </c>
      <c r="I15" s="7" t="inlineStr">
        <is>
          <t>N2–N3</t>
        </is>
      </c>
      <c r="J15" s="7" t="inlineStr">
        <is>
          <t>Chưa làm</t>
        </is>
      </c>
      <c r="K15" s="7" t="inlineStr">
        <is>
          <t>Chưa</t>
        </is>
      </c>
      <c r="L15" s="4" t="inlineStr"/>
      <c r="M15" s="4" t="inlineStr"/>
      <c r="N15" s="7">
        <f>IF(AND(J15="Hoàn tất",K15="Đạt",L15&lt;&gt;"",D15&lt;&gt;E15),1,0)</f>
        <v/>
      </c>
      <c r="O15" s="7">
        <f>IF(N15=1,"Xong",IF(AND(SUMIFS($N$6:$N$57,$A$6:$A$57,"BE-02")=1,SUMIFS($N$6:$N$57,$A$6:$A$57,"BE-09")=1),"Có thể bắt đầu","Chờ task trước"))</f>
        <v/>
      </c>
    </row>
    <row r="16">
      <c r="A16" s="7" t="inlineStr">
        <is>
          <t>BE-11</t>
        </is>
      </c>
      <c r="B16" s="7" t="inlineStr">
        <is>
          <t>Đợt 1</t>
        </is>
      </c>
      <c r="C16" s="7" t="inlineStr">
        <is>
          <t>Backend</t>
        </is>
      </c>
      <c r="D16" s="7" t="inlineStr">
        <is>
          <t>TV4</t>
        </is>
      </c>
      <c r="E16" s="7" t="inlineStr">
        <is>
          <t>TV2</t>
        </is>
      </c>
      <c r="F16" s="4" t="inlineStr">
        <is>
          <t>API quản lý tài khoản /api/users/ (tạo, sửa vai trò, khóa, đặt lại mật khẩu)</t>
        </is>
      </c>
      <c r="G16" s="4" t="inlineStr">
        <is>
          <t>BE-10</t>
        </is>
      </c>
      <c r="H16" s="4" t="inlineStr">
        <is>
          <t>Chặn tự khóa, bỏ principal cuối, sửa superuser; khóa → đá phiên; audit không chứa mật khẩu</t>
        </is>
      </c>
      <c r="I16" s="7" t="inlineStr">
        <is>
          <t>N3–N4</t>
        </is>
      </c>
      <c r="J16" s="7" t="inlineStr">
        <is>
          <t>Chưa làm</t>
        </is>
      </c>
      <c r="K16" s="7" t="inlineStr">
        <is>
          <t>Chưa</t>
        </is>
      </c>
      <c r="L16" s="4" t="inlineStr"/>
      <c r="M16" s="4" t="inlineStr"/>
      <c r="N16" s="7">
        <f>IF(AND(J16="Hoàn tất",K16="Đạt",L16&lt;&gt;"",D16&lt;&gt;E16),1,0)</f>
        <v/>
      </c>
      <c r="O16" s="7">
        <f>IF(N16=1,"Xong",IF(AND(SUMIFS($N$6:$N$57,$A$6:$A$57,"BE-10")=1),"Có thể bắt đầu","Chờ task trước"))</f>
        <v/>
      </c>
    </row>
    <row r="17">
      <c r="A17" s="7" t="inlineStr">
        <is>
          <t>BE-12</t>
        </is>
      </c>
      <c r="B17" s="7" t="inlineStr">
        <is>
          <t>Đợt 1</t>
        </is>
      </c>
      <c r="C17" s="7" t="inlineStr">
        <is>
          <t>Backend</t>
        </is>
      </c>
      <c r="D17" s="7" t="inlineStr">
        <is>
          <t>TV4</t>
        </is>
      </c>
      <c r="E17" s="7" t="inlineStr">
        <is>
          <t>TV2</t>
        </is>
      </c>
      <c r="F17" s="4" t="inlineStr">
        <is>
          <t>ISSUE-002 + ISSUE-011: API lớp (grade, enrolled) và ngày ăn SF46 (meal_views.py)</t>
        </is>
      </c>
      <c r="G17" s="4" t="inlineStr">
        <is>
          <t>BE-09</t>
        </is>
      </c>
      <c r="H17" s="4" t="inlineStr">
        <is>
          <t>Lớp 30 HS: −1/31 → 400, null ≠ 0; GET không ghi; version cũ → 409; không còn except Exception</t>
        </is>
      </c>
      <c r="I17" s="7" t="inlineStr">
        <is>
          <t>N4</t>
        </is>
      </c>
      <c r="J17" s="7" t="inlineStr">
        <is>
          <t>Chưa làm</t>
        </is>
      </c>
      <c r="K17" s="7" t="inlineStr">
        <is>
          <t>Chưa</t>
        </is>
      </c>
      <c r="L17" s="4" t="inlineStr"/>
      <c r="M17" s="4" t="inlineStr"/>
      <c r="N17" s="7">
        <f>IF(AND(J17="Hoàn tất",K17="Đạt",L17&lt;&gt;"",D17&lt;&gt;E17),1,0)</f>
        <v/>
      </c>
      <c r="O17" s="7">
        <f>IF(N17=1,"Xong",IF(AND(SUMIFS($N$6:$N$57,$A$6:$A$57,"BE-09")=1),"Có thể bắt đầu","Chờ task trước"))</f>
        <v/>
      </c>
    </row>
    <row r="18">
      <c r="A18" s="7" t="inlineStr">
        <is>
          <t>BE-13</t>
        </is>
      </c>
      <c r="B18" s="7" t="inlineStr">
        <is>
          <t>Đợt 1</t>
        </is>
      </c>
      <c r="C18" s="7" t="inlineStr">
        <is>
          <t>Backend</t>
        </is>
      </c>
      <c r="D18" s="7" t="inlineStr">
        <is>
          <t>TV4</t>
        </is>
      </c>
      <c r="E18" s="7" t="inlineStr">
        <is>
          <t>TV2</t>
        </is>
      </c>
      <c r="F18" s="4" t="inlineStr">
        <is>
          <t>API thực đơn: /api/menu/week, versions, holidays, dishes/&lt;id&gt;</t>
        </is>
      </c>
      <c r="G18" s="4" t="inlineStr">
        <is>
          <t>BE-07, BE-09</t>
        </is>
      </c>
      <c r="H18" s="4" t="inlineStr">
        <is>
          <t>Đọc cho manager + principal; ghi chỉ manager; lỗi đúng mã; audit ghi đủ</t>
        </is>
      </c>
      <c r="I18" s="7" t="inlineStr">
        <is>
          <t>N5–N6</t>
        </is>
      </c>
      <c r="J18" s="7" t="inlineStr">
        <is>
          <t>Chưa làm</t>
        </is>
      </c>
      <c r="K18" s="7" t="inlineStr">
        <is>
          <t>Chưa</t>
        </is>
      </c>
      <c r="L18" s="4" t="inlineStr"/>
      <c r="M18" s="4" t="inlineStr"/>
      <c r="N18" s="7">
        <f>IF(AND(J18="Hoàn tất",K18="Đạt",L18&lt;&gt;"",D18&lt;&gt;E18),1,0)</f>
        <v/>
      </c>
      <c r="O18" s="7">
        <f>IF(N18=1,"Xong",IF(AND(SUMIFS($N$6:$N$57,$A$6:$A$57,"BE-07")=1,SUMIFS($N$6:$N$57,$A$6:$A$57,"BE-09")=1),"Có thể bắt đầu","Chờ task trước"))</f>
        <v/>
      </c>
    </row>
    <row r="19">
      <c r="A19" s="7" t="inlineStr">
        <is>
          <t>BE-14</t>
        </is>
      </c>
      <c r="B19" s="7" t="inlineStr">
        <is>
          <t>Đợt 1</t>
        </is>
      </c>
      <c r="C19" s="7" t="inlineStr">
        <is>
          <t>Backend</t>
        </is>
      </c>
      <c r="D19" s="7" t="inlineStr">
        <is>
          <t>TV6</t>
        </is>
      </c>
      <c r="E19" s="7" t="inlineStr">
        <is>
          <t>TV1</t>
        </is>
      </c>
      <c r="F19" s="4" t="inlineStr">
        <is>
          <t>API học sinh + import CSV (dry-run) + xem email phụ huynh</t>
        </is>
      </c>
      <c r="G19" s="4" t="inlineStr">
        <is>
          <t>BE-04, BE-09</t>
        </is>
      </c>
      <c r="H19" s="4" t="inlineStr">
        <is>
          <t>Danh sách chỉ email che; CSV 1 dòng lỗi → không ghi gì; principal không xem được email; xóa bé xóa email</t>
        </is>
      </c>
      <c r="I19" s="7" t="inlineStr">
        <is>
          <t>N5–N6</t>
        </is>
      </c>
      <c r="J19" s="7" t="inlineStr">
        <is>
          <t>Chưa làm</t>
        </is>
      </c>
      <c r="K19" s="7" t="inlineStr">
        <is>
          <t>Chưa</t>
        </is>
      </c>
      <c r="L19" s="4" t="inlineStr"/>
      <c r="M19" s="4" t="inlineStr"/>
      <c r="N19" s="7">
        <f>IF(AND(J19="Hoàn tất",K19="Đạt",L19&lt;&gt;"",D19&lt;&gt;E19),1,0)</f>
        <v/>
      </c>
      <c r="O19" s="7">
        <f>IF(N19=1,"Xong",IF(AND(SUMIFS($N$6:$N$57,$A$6:$A$57,"BE-04")=1,SUMIFS($N$6:$N$57,$A$6:$A$57,"BE-09")=1),"Có thể bắt đầu","Chờ task trước"))</f>
        <v/>
      </c>
    </row>
    <row r="20">
      <c r="A20" s="7" t="inlineStr">
        <is>
          <t>BE-15</t>
        </is>
      </c>
      <c r="B20" s="7" t="inlineStr">
        <is>
          <t>Đợt 1</t>
        </is>
      </c>
      <c r="C20" s="7" t="inlineStr">
        <is>
          <t>Backend</t>
        </is>
      </c>
      <c r="D20" s="7" t="inlineStr">
        <is>
          <t>TV6</t>
        </is>
      </c>
      <c r="E20" s="7" t="inlineStr">
        <is>
          <t>TV1</t>
        </is>
      </c>
      <c r="F20" s="4" t="inlineStr">
        <is>
          <t>audit.py + GET /api/audit-logs/ + chèn audit.record vào view kho/lớp/món</t>
        </is>
      </c>
      <c r="G20" s="4" t="inlineStr">
        <is>
          <t>BE-02, BE-09</t>
        </is>
      </c>
      <c r="H20" s="4" t="inlineStr">
        <is>
          <t>Mọi nhóm thao tác có audit; rollback không để lại audit; không mật khẩu/email; manager GET → 403</t>
        </is>
      </c>
      <c r="I20" s="7" t="inlineStr">
        <is>
          <t>N2–N3</t>
        </is>
      </c>
      <c r="J20" s="7" t="inlineStr">
        <is>
          <t>Chưa làm</t>
        </is>
      </c>
      <c r="K20" s="7" t="inlineStr">
        <is>
          <t>Chưa</t>
        </is>
      </c>
      <c r="L20" s="4" t="inlineStr"/>
      <c r="M20" s="4" t="inlineStr"/>
      <c r="N20" s="7">
        <f>IF(AND(J20="Hoàn tất",K20="Đạt",L20&lt;&gt;"",D20&lt;&gt;E20),1,0)</f>
        <v/>
      </c>
      <c r="O20" s="7">
        <f>IF(N20=1,"Xong",IF(AND(SUMIFS($N$6:$N$57,$A$6:$A$57,"BE-02")=1,SUMIFS($N$6:$N$57,$A$6:$A$57,"BE-09")=1),"Có thể bắt đầu","Chờ task trước"))</f>
        <v/>
      </c>
    </row>
    <row r="21">
      <c r="A21" s="7" t="inlineStr">
        <is>
          <t>BE-16</t>
        </is>
      </c>
      <c r="B21" s="7" t="inlineStr">
        <is>
          <t>Đợt 1</t>
        </is>
      </c>
      <c r="C21" s="7" t="inlineStr">
        <is>
          <t>Backend</t>
        </is>
      </c>
      <c r="D21" s="7" t="inlineStr">
        <is>
          <t>TV6</t>
        </is>
      </c>
      <c r="E21" s="7" t="inlineStr">
        <is>
          <t>TV1</t>
        </is>
      </c>
      <c r="F21" s="4" t="inlineStr">
        <is>
          <t>ISSUE-009: test_security.py ma trận quyền/CSRF cho mọi route + ca phiên</t>
        </is>
      </c>
      <c r="G21" s="4" t="inlineStr">
        <is>
          <t>BE-10, BE-11, BE-15</t>
        </is>
      </c>
      <c r="H21" s="4" t="inlineStr">
        <is>
          <t>Route chưa khai quyền làm test fail; đủ ca 401/403/CSRF/405/phiên</t>
        </is>
      </c>
      <c r="I21" s="7" t="inlineStr">
        <is>
          <t>N1–N4</t>
        </is>
      </c>
      <c r="J21" s="7" t="inlineStr">
        <is>
          <t>Chưa làm</t>
        </is>
      </c>
      <c r="K21" s="7" t="inlineStr">
        <is>
          <t>Chưa</t>
        </is>
      </c>
      <c r="L21" s="4" t="inlineStr"/>
      <c r="M21" s="4" t="inlineStr"/>
      <c r="N21" s="7">
        <f>IF(AND(J21="Hoàn tất",K21="Đạt",L21&lt;&gt;"",D21&lt;&gt;E21),1,0)</f>
        <v/>
      </c>
      <c r="O21" s="7">
        <f>IF(N21=1,"Xong",IF(AND(SUMIFS($N$6:$N$57,$A$6:$A$57,"BE-10")=1,SUMIFS($N$6:$N$57,$A$6:$A$57,"BE-11")=1,SUMIFS($N$6:$N$57,$A$6:$A$57,"BE-15")=1),"Có thể bắt đầu","Chờ task trước"))</f>
        <v/>
      </c>
    </row>
    <row r="22">
      <c r="A22" s="7" t="inlineStr">
        <is>
          <t>BE-17</t>
        </is>
      </c>
      <c r="B22" s="7" t="inlineStr">
        <is>
          <t>Đợt 1</t>
        </is>
      </c>
      <c r="C22" s="7" t="inlineStr">
        <is>
          <t>Backend</t>
        </is>
      </c>
      <c r="D22" s="7" t="inlineStr">
        <is>
          <t>TV6</t>
        </is>
      </c>
      <c r="E22" s="7" t="inlineStr">
        <is>
          <t>TV1</t>
        </is>
      </c>
      <c r="F22" s="4" t="inlineStr">
        <is>
          <t>Vận hành: nginx CSP + X-Real-IP + rate-limit, service scheduler, backup cron, docs/SECURITY.md</t>
        </is>
      </c>
      <c r="G22" s="4" t="inlineStr">
        <is>
          <t>BE-08, BE-10</t>
        </is>
      </c>
      <c r="H22" s="4" t="inlineStr">
        <is>
          <t>Không lỗi CSP trên build production; check --deploy sạch; backup → restore DB tạm khớp</t>
        </is>
      </c>
      <c r="I22" s="7" t="inlineStr">
        <is>
          <t>N7</t>
        </is>
      </c>
      <c r="J22" s="7" t="inlineStr">
        <is>
          <t>Chưa làm</t>
        </is>
      </c>
      <c r="K22" s="7" t="inlineStr">
        <is>
          <t>Chưa</t>
        </is>
      </c>
      <c r="L22" s="4" t="inlineStr"/>
      <c r="M22" s="4" t="inlineStr"/>
      <c r="N22" s="7">
        <f>IF(AND(J22="Hoàn tất",K22="Đạt",L22&lt;&gt;"",D22&lt;&gt;E22),1,0)</f>
        <v/>
      </c>
      <c r="O22" s="7">
        <f>IF(N22=1,"Xong",IF(AND(SUMIFS($N$6:$N$57,$A$6:$A$57,"BE-08")=1,SUMIFS($N$6:$N$57,$A$6:$A$57,"BE-10")=1),"Có thể bắt đầu","Chờ task trước"))</f>
        <v/>
      </c>
    </row>
    <row r="23">
      <c r="A23" s="7" t="inlineStr">
        <is>
          <t>BE-18</t>
        </is>
      </c>
      <c r="B23" s="7" t="inlineStr">
        <is>
          <t>Đợt 1</t>
        </is>
      </c>
      <c r="C23" s="7" t="inlineStr">
        <is>
          <t>Backend</t>
        </is>
      </c>
      <c r="D23" s="7" t="inlineStr">
        <is>
          <t>TV6</t>
        </is>
      </c>
      <c r="E23" s="7" t="inlineStr">
        <is>
          <t>TV1</t>
        </is>
      </c>
      <c r="F23" s="4" t="inlineStr">
        <is>
          <t>seed_demo --scenario security (user, lớp, món, thực đơn, học sinh email giả)</t>
        </is>
      </c>
      <c r="G23" s="4" t="inlineStr">
        <is>
          <t>BE-02</t>
        </is>
      </c>
      <c r="H23" s="4" t="inlineStr">
        <is>
          <t>Chạy lại không nhân bản dữ liệu; từ chối khi DEBUG=False; không in mật khẩu</t>
        </is>
      </c>
      <c r="I23" s="7" t="inlineStr">
        <is>
          <t>N1</t>
        </is>
      </c>
      <c r="J23" s="7" t="inlineStr">
        <is>
          <t>Chưa làm</t>
        </is>
      </c>
      <c r="K23" s="7" t="inlineStr">
        <is>
          <t>Chưa</t>
        </is>
      </c>
      <c r="L23" s="4" t="inlineStr"/>
      <c r="M23" s="4" t="inlineStr"/>
      <c r="N23" s="7">
        <f>IF(AND(J23="Hoàn tất",K23="Đạt",L23&lt;&gt;"",D23&lt;&gt;E23),1,0)</f>
        <v/>
      </c>
      <c r="O23" s="7">
        <f>IF(N23=1,"Xong",IF(AND(SUMIFS($N$6:$N$57,$A$6:$A$57,"BE-02")=1),"Có thể bắt đầu","Chờ task trước"))</f>
        <v/>
      </c>
    </row>
    <row r="24">
      <c r="A24" s="7" t="inlineStr">
        <is>
          <t>FE-01</t>
        </is>
      </c>
      <c r="B24" s="7" t="inlineStr">
        <is>
          <t>Đợt 1</t>
        </is>
      </c>
      <c r="C24" s="7" t="inlineStr">
        <is>
          <t>Frontend</t>
        </is>
      </c>
      <c r="D24" s="7" t="inlineStr">
        <is>
          <t>TV3</t>
        </is>
      </c>
      <c r="E24" s="7" t="inlineStr">
        <is>
          <t>TV5</t>
        </is>
      </c>
      <c r="F24" s="4" t="inlineStr">
        <is>
          <t>Vai trò mới ở frontend: nhãn Quản lý/Hiệu trưởng, khóa nút ghi, đăng nhập 429/403, hết phiên</t>
        </is>
      </c>
      <c r="G24" s="4" t="inlineStr">
        <is>
          <t>BE-10</t>
        </is>
      </c>
      <c r="H24" s="4" t="inlineStr">
        <is>
          <t>Hiệu trưởng thấy nút khóa kèm tooltip; 429 báo số phút; hết phiên về /dang-nhap</t>
        </is>
      </c>
      <c r="I24" s="7" t="inlineStr">
        <is>
          <t>N4</t>
        </is>
      </c>
      <c r="J24" s="7" t="inlineStr">
        <is>
          <t>Chưa làm</t>
        </is>
      </c>
      <c r="K24" s="7" t="inlineStr">
        <is>
          <t>Chưa</t>
        </is>
      </c>
      <c r="L24" s="4" t="inlineStr"/>
      <c r="M24" s="4" t="inlineStr"/>
      <c r="N24" s="7">
        <f>IF(AND(J24="Hoàn tất",K24="Đạt",L24&lt;&gt;"",D24&lt;&gt;E24),1,0)</f>
        <v/>
      </c>
      <c r="O24" s="7">
        <f>IF(N24=1,"Xong",IF(AND(SUMIFS($N$6:$N$57,$A$6:$A$57,"BE-10")=1),"Có thể bắt đầu","Chờ task trước"))</f>
        <v/>
      </c>
    </row>
    <row r="25">
      <c r="A25" s="7" t="inlineStr">
        <is>
          <t>FE-02</t>
        </is>
      </c>
      <c r="B25" s="7" t="inlineStr">
        <is>
          <t>Đợt 1</t>
        </is>
      </c>
      <c r="C25" s="7" t="inlineStr">
        <is>
          <t>Frontend</t>
        </is>
      </c>
      <c r="D25" s="7" t="inlineStr">
        <is>
          <t>TV3</t>
        </is>
      </c>
      <c r="E25" s="7" t="inlineStr">
        <is>
          <t>TV5</t>
        </is>
      </c>
      <c r="F25" s="4" t="inlineStr">
        <is>
          <t>Màn Tài khoản /tai-khoan (chỉ Hiệu trưởng)</t>
        </is>
      </c>
      <c r="G25" s="4" t="inlineStr">
        <is>
          <t>BE-11, FE-01</t>
        </is>
      </c>
      <c r="H25" s="4" t="inlineStr">
        <is>
          <t>Tạo, đổi vai trò, khóa/mở, đặt lại mật khẩu; lỗi validator hiện đúng ô</t>
        </is>
      </c>
      <c r="I25" s="7" t="inlineStr">
        <is>
          <t>N5</t>
        </is>
      </c>
      <c r="J25" s="7" t="inlineStr">
        <is>
          <t>Chưa làm</t>
        </is>
      </c>
      <c r="K25" s="7" t="inlineStr">
        <is>
          <t>Chưa</t>
        </is>
      </c>
      <c r="L25" s="4" t="inlineStr"/>
      <c r="M25" s="4" t="inlineStr"/>
      <c r="N25" s="7">
        <f>IF(AND(J25="Hoàn tất",K25="Đạt",L25&lt;&gt;"",D25&lt;&gt;E25),1,0)</f>
        <v/>
      </c>
      <c r="O25" s="7">
        <f>IF(N25=1,"Xong",IF(AND(SUMIFS($N$6:$N$57,$A$6:$A$57,"BE-11")=1,SUMIFS($N$6:$N$57,$A$6:$A$57,"FE-01")=1),"Có thể bắt đầu","Chờ task trước"))</f>
        <v/>
      </c>
    </row>
    <row r="26">
      <c r="A26" s="7" t="inlineStr">
        <is>
          <t>FE-03</t>
        </is>
      </c>
      <c r="B26" s="7" t="inlineStr">
        <is>
          <t>Đợt 1</t>
        </is>
      </c>
      <c r="C26" s="7" t="inlineStr">
        <is>
          <t>Frontend</t>
        </is>
      </c>
      <c r="D26" s="7" t="inlineStr">
        <is>
          <t>TV5</t>
        </is>
      </c>
      <c r="E26" s="7" t="inlineStr">
        <is>
          <t>TV3</t>
        </is>
      </c>
      <c r="F26" s="4" t="inlineStr">
        <is>
          <t>Màn Nhật ký /nhat-ky: lọc người/hành động/đối tượng/ngày, drawer trước → sau</t>
        </is>
      </c>
      <c r="G26" s="4" t="inlineStr">
        <is>
          <t>BE-15, FE-01</t>
        </is>
      </c>
      <c r="H26" s="4" t="inlineStr">
        <is>
          <t>Phân trang 50 dòng; Quản lý không thấy mục menu</t>
        </is>
      </c>
      <c r="I26" s="7" t="inlineStr">
        <is>
          <t>N5</t>
        </is>
      </c>
      <c r="J26" s="7" t="inlineStr">
        <is>
          <t>Chưa làm</t>
        </is>
      </c>
      <c r="K26" s="7" t="inlineStr">
        <is>
          <t>Chưa</t>
        </is>
      </c>
      <c r="L26" s="4" t="inlineStr"/>
      <c r="M26" s="4" t="inlineStr"/>
      <c r="N26" s="7">
        <f>IF(AND(J26="Hoàn tất",K26="Đạt",L26&lt;&gt;"",D26&lt;&gt;E26),1,0)</f>
        <v/>
      </c>
      <c r="O26" s="7">
        <f>IF(N26=1,"Xong",IF(AND(SUMIFS($N$6:$N$57,$A$6:$A$57,"BE-15")=1,SUMIFS($N$6:$N$57,$A$6:$A$57,"FE-01")=1),"Có thể bắt đầu","Chờ task trước"))</f>
        <v/>
      </c>
    </row>
    <row r="27">
      <c r="A27" s="7" t="inlineStr">
        <is>
          <t>FE-04</t>
        </is>
      </c>
      <c r="B27" s="7" t="inlineStr">
        <is>
          <t>Đợt 1</t>
        </is>
      </c>
      <c r="C27" s="7" t="inlineStr">
        <is>
          <t>Frontend</t>
        </is>
      </c>
      <c r="D27" s="7" t="inlineStr">
        <is>
          <t>TV3</t>
        </is>
      </c>
      <c r="E27" s="7" t="inlineStr">
        <is>
          <t>TV5</t>
        </is>
      </c>
      <c r="F27" s="4" t="inlineStr">
        <is>
          <t>Tab Thực đơn tuần trong /mon-an: lưới T2–T6, sửa thực đơn cố định, lịch sử phiên bản</t>
        </is>
      </c>
      <c r="G27" s="4" t="inlineStr">
        <is>
          <t>BE-13</t>
        </is>
      </c>
      <c r="H27" s="4" t="inlineStr">
        <is>
          <t>Ngày nghỉ và ngày chưa lập hiển thị riêng; không chọn ngày áp dụng ≤ hôm nay</t>
        </is>
      </c>
      <c r="I27" s="7" t="inlineStr">
        <is>
          <t>N6–N7</t>
        </is>
      </c>
      <c r="J27" s="7" t="inlineStr">
        <is>
          <t>Chưa làm</t>
        </is>
      </c>
      <c r="K27" s="7" t="inlineStr">
        <is>
          <t>Chưa</t>
        </is>
      </c>
      <c r="L27" s="4" t="inlineStr"/>
      <c r="M27" s="4" t="inlineStr"/>
      <c r="N27" s="7">
        <f>IF(AND(J27="Hoàn tất",K27="Đạt",L27&lt;&gt;"",D27&lt;&gt;E27),1,0)</f>
        <v/>
      </c>
      <c r="O27" s="7">
        <f>IF(N27=1,"Xong",IF(AND(SUMIFS($N$6:$N$57,$A$6:$A$57,"BE-13")=1),"Có thể bắt đầu","Chờ task trước"))</f>
        <v/>
      </c>
    </row>
    <row r="28">
      <c r="A28" s="7" t="inlineStr">
        <is>
          <t>FE-05</t>
        </is>
      </c>
      <c r="B28" s="7" t="inlineStr">
        <is>
          <t>Đợt 1</t>
        </is>
      </c>
      <c r="C28" s="7" t="inlineStr">
        <is>
          <t>Frontend</t>
        </is>
      </c>
      <c r="D28" s="7" t="inlineStr">
        <is>
          <t>TV5</t>
        </is>
      </c>
      <c r="E28" s="7" t="inlineStr">
        <is>
          <t>TV3</t>
        </is>
      </c>
      <c r="F28" s="4" t="inlineStr">
        <is>
          <t>Ngày nghỉ (thêm/xóa) + form công thức 6 số lẻ, đơn vị g/ml</t>
        </is>
      </c>
      <c r="G28" s="4" t="inlineStr">
        <is>
          <t>BE-13</t>
        </is>
      </c>
      <c r="H28" s="4" t="inlineStr">
        <is>
          <t>Nhập 0,4 g lưu đúng; lỗi đơn vị hiện tại dòng</t>
        </is>
      </c>
      <c r="I28" s="7" t="inlineStr">
        <is>
          <t>N6</t>
        </is>
      </c>
      <c r="J28" s="7" t="inlineStr">
        <is>
          <t>Chưa làm</t>
        </is>
      </c>
      <c r="K28" s="7" t="inlineStr">
        <is>
          <t>Chưa</t>
        </is>
      </c>
      <c r="L28" s="4" t="inlineStr"/>
      <c r="M28" s="4" t="inlineStr"/>
      <c r="N28" s="7">
        <f>IF(AND(J28="Hoàn tất",K28="Đạt",L28&lt;&gt;"",D28&lt;&gt;E28),1,0)</f>
        <v/>
      </c>
      <c r="O28" s="7">
        <f>IF(N28=1,"Xong",IF(AND(SUMIFS($N$6:$N$57,$A$6:$A$57,"BE-13")=1),"Có thể bắt đầu","Chờ task trước"))</f>
        <v/>
      </c>
    </row>
    <row r="29">
      <c r="A29" s="7" t="inlineStr">
        <is>
          <t>FE-06</t>
        </is>
      </c>
      <c r="B29" s="7" t="inlineStr">
        <is>
          <t>Đợt 1</t>
        </is>
      </c>
      <c r="C29" s="7" t="inlineStr">
        <is>
          <t>Frontend</t>
        </is>
      </c>
      <c r="D29" s="7" t="inlineStr">
        <is>
          <t>TV5</t>
        </is>
      </c>
      <c r="E29" s="7" t="inlineStr">
        <is>
          <t>TV3</t>
        </is>
      </c>
      <c r="F29" s="4" t="inlineStr">
        <is>
          <t>Tab Học sinh trong /lop-hoc: email che, nút Hiện, import CSV có xem trước</t>
        </is>
      </c>
      <c r="G29" s="4" t="inlineStr">
        <is>
          <t>BE-14</t>
        </is>
      </c>
      <c r="H29" s="4" t="inlineStr">
        <is>
          <t>Hiệu trưởng không có nút Hiện; CSV lỗi hiện từng dòng</t>
        </is>
      </c>
      <c r="I29" s="7" t="inlineStr">
        <is>
          <t>N7</t>
        </is>
      </c>
      <c r="J29" s="7" t="inlineStr">
        <is>
          <t>Chưa làm</t>
        </is>
      </c>
      <c r="K29" s="7" t="inlineStr">
        <is>
          <t>Chưa</t>
        </is>
      </c>
      <c r="L29" s="4" t="inlineStr"/>
      <c r="M29" s="4" t="inlineStr"/>
      <c r="N29" s="7">
        <f>IF(AND(J29="Hoàn tất",K29="Đạt",L29&lt;&gt;"",D29&lt;&gt;E29),1,0)</f>
        <v/>
      </c>
      <c r="O29" s="7">
        <f>IF(N29=1,"Xong",IF(AND(SUMIFS($N$6:$N$57,$A$6:$A$57,"BE-14")=1),"Có thể bắt đầu","Chờ task trước"))</f>
        <v/>
      </c>
    </row>
    <row r="30">
      <c r="A30" s="7" t="inlineStr">
        <is>
          <t>FE-07</t>
        </is>
      </c>
      <c r="B30" s="7" t="inlineStr">
        <is>
          <t>Đợt 1</t>
        </is>
      </c>
      <c r="C30" s="7" t="inlineStr">
        <is>
          <t>Frontend</t>
        </is>
      </c>
      <c r="D30" s="7" t="inlineStr">
        <is>
          <t>TV3</t>
        </is>
      </c>
      <c r="E30" s="7" t="inlineStr">
        <is>
          <t>TV5</t>
        </is>
      </c>
      <c r="F30" s="4" t="inlineStr">
        <is>
          <t>Tab Thư thực đơn (nhật ký, gửi lại, gửi thử) + trang công khai /huy-nhan/:token</t>
        </is>
      </c>
      <c r="G30" s="4" t="inlineStr">
        <is>
          <t>BE-08</t>
        </is>
      </c>
      <c r="H30" s="4" t="inlineStr">
        <is>
          <t>Nhãn "Chế độ thử" khi dry-run; trang hủy nhận cần bấm xác nhận</t>
        </is>
      </c>
      <c r="I30" s="7" t="inlineStr">
        <is>
          <t>N7</t>
        </is>
      </c>
      <c r="J30" s="7" t="inlineStr">
        <is>
          <t>Chưa làm</t>
        </is>
      </c>
      <c r="K30" s="7" t="inlineStr">
        <is>
          <t>Chưa</t>
        </is>
      </c>
      <c r="L30" s="4" t="inlineStr"/>
      <c r="M30" s="4" t="inlineStr"/>
      <c r="N30" s="7">
        <f>IF(AND(J30="Hoàn tất",K30="Đạt",L30&lt;&gt;"",D30&lt;&gt;E30),1,0)</f>
        <v/>
      </c>
      <c r="O30" s="7">
        <f>IF(N30=1,"Xong",IF(AND(SUMIFS($N$6:$N$57,$A$6:$A$57,"BE-08")=1),"Có thể bắt đầu","Chờ task trước"))</f>
        <v/>
      </c>
    </row>
    <row r="31">
      <c r="A31" s="7" t="inlineStr">
        <is>
          <t>FE-08</t>
        </is>
      </c>
      <c r="B31" s="7" t="inlineStr">
        <is>
          <t>Đợt 1</t>
        </is>
      </c>
      <c r="C31" s="7" t="inlineStr">
        <is>
          <t>Frontend</t>
        </is>
      </c>
      <c r="D31" s="7" t="inlineStr">
        <is>
          <t>TV5</t>
        </is>
      </c>
      <c r="E31" s="7" t="inlineStr">
        <is>
          <t>TV3</t>
        </is>
      </c>
      <c r="F31" s="4" t="inlineStr">
        <is>
          <t>SF45/SF47: lớp có sĩ số + khối; bảng nhập suất theo ngày, chốt/mở lại</t>
        </is>
      </c>
      <c r="G31" s="4" t="inlineStr">
        <is>
          <t>BE-12</t>
        </is>
      </c>
      <c r="H31" s="4" t="inlineStr">
        <is>
          <t>−1/31 bị chặn tại ô; ô trống khác 0; version cũ báo tải lại</t>
        </is>
      </c>
      <c r="I31" s="7" t="inlineStr">
        <is>
          <t>N5–N6</t>
        </is>
      </c>
      <c r="J31" s="7" t="inlineStr">
        <is>
          <t>Chưa làm</t>
        </is>
      </c>
      <c r="K31" s="7" t="inlineStr">
        <is>
          <t>Chưa</t>
        </is>
      </c>
      <c r="L31" s="4" t="inlineStr"/>
      <c r="M31" s="4" t="inlineStr"/>
      <c r="N31" s="7">
        <f>IF(AND(J31="Hoàn tất",K31="Đạt",L31&lt;&gt;"",D31&lt;&gt;E31),1,0)</f>
        <v/>
      </c>
      <c r="O31" s="7">
        <f>IF(N31=1,"Xong",IF(AND(SUMIFS($N$6:$N$57,$A$6:$A$57,"BE-12")=1),"Có thể bắt đầu","Chờ task trước"))</f>
        <v/>
      </c>
    </row>
    <row r="32">
      <c r="A32" s="7" t="inlineStr">
        <is>
          <t>FE-09</t>
        </is>
      </c>
      <c r="B32" s="7" t="inlineStr">
        <is>
          <t>Đợt 1</t>
        </is>
      </c>
      <c r="C32" s="7" t="inlineStr">
        <is>
          <t>Frontend</t>
        </is>
      </c>
      <c r="D32" s="7" t="inlineStr">
        <is>
          <t>TV3</t>
        </is>
      </c>
      <c r="E32" s="7" t="inlineStr">
        <is>
          <t>TV5</t>
        </is>
      </c>
      <c r="F32" s="4" t="inlineStr">
        <is>
          <t>Cập nhật UI_GUIDE theo vai trò mới; ảnh evidence 1280/375 mọi màn đợt 1</t>
        </is>
      </c>
      <c r="G32" s="4" t="inlineStr">
        <is>
          <t>FE-02, FE-04, FE-07</t>
        </is>
      </c>
      <c r="H32" s="4" t="inlineStr">
        <is>
          <t>Ảnh lưu outputs/team-6/evidence/SEC_*.png; npm run build đạt</t>
        </is>
      </c>
      <c r="I32" s="7" t="inlineStr">
        <is>
          <t>N8</t>
        </is>
      </c>
      <c r="J32" s="7" t="inlineStr">
        <is>
          <t>Chưa làm</t>
        </is>
      </c>
      <c r="K32" s="7" t="inlineStr">
        <is>
          <t>Chưa</t>
        </is>
      </c>
      <c r="L32" s="4" t="inlineStr"/>
      <c r="M32" s="4" t="inlineStr"/>
      <c r="N32" s="7">
        <f>IF(AND(J32="Hoàn tất",K32="Đạt",L32&lt;&gt;"",D32&lt;&gt;E32),1,0)</f>
        <v/>
      </c>
      <c r="O32" s="7">
        <f>IF(N32=1,"Xong",IF(AND(SUMIFS($N$6:$N$57,$A$6:$A$57,"FE-02")=1,SUMIFS($N$6:$N$57,$A$6:$A$57,"FE-04")=1,SUMIFS($N$6:$N$57,$A$6:$A$57,"FE-07")=1),"Có thể bắt đầu","Chờ task trước"))</f>
        <v/>
      </c>
    </row>
    <row r="33">
      <c r="A33" s="7" t="inlineStr">
        <is>
          <t>SF39</t>
        </is>
      </c>
      <c r="B33" s="7" t="inlineStr">
        <is>
          <t>Đợt 1</t>
        </is>
      </c>
      <c r="C33" s="7" t="inlineStr">
        <is>
          <t>Deploy</t>
        </is>
      </c>
      <c r="D33" s="7" t="inlineStr">
        <is>
          <t>TV3</t>
        </is>
      </c>
      <c r="E33" s="7" t="inlineStr">
        <is>
          <t>TV5</t>
        </is>
      </c>
      <c r="F33" s="4" t="inlineStr">
        <is>
          <t>Build giao diện cho production (đã có trong SF38 #33: kiểm và bổ sung)</t>
        </is>
      </c>
      <c r="G33" s="4" t="inlineStr">
        <is>
          <t>Không</t>
        </is>
      </c>
      <c r="H33" s="4" t="inlineStr">
        <is>
          <t>Build production chạy qua nginx, không gọi localhost</t>
        </is>
      </c>
      <c r="I33" s="7" t="inlineStr">
        <is>
          <t>N2</t>
        </is>
      </c>
      <c r="J33" s="7" t="inlineStr">
        <is>
          <t>Chưa làm</t>
        </is>
      </c>
      <c r="K33" s="7" t="inlineStr">
        <is>
          <t>Chưa</t>
        </is>
      </c>
      <c r="L33" s="4" t="inlineStr"/>
      <c r="M33" s="4" t="inlineStr"/>
      <c r="N33" s="7">
        <f>IF(AND(J33="Hoàn tất",K33="Đạt",L33&lt;&gt;"",D33&lt;&gt;E33),1,0)</f>
        <v/>
      </c>
      <c r="O33" s="7">
        <f>IF(N33=1,"Xong","Có thể bắt đầu")</f>
        <v/>
      </c>
    </row>
    <row r="34">
      <c r="A34" s="7" t="inlineStr">
        <is>
          <t>SF40</t>
        </is>
      </c>
      <c r="B34" s="7" t="inlineStr">
        <is>
          <t>Đợt 1</t>
        </is>
      </c>
      <c r="C34" s="7" t="inlineStr">
        <is>
          <t>Deploy</t>
        </is>
      </c>
      <c r="D34" s="7" t="inlineStr">
        <is>
          <t>TV4</t>
        </is>
      </c>
      <c r="E34" s="7" t="inlineStr">
        <is>
          <t>TV2</t>
        </is>
      </c>
      <c r="F34" s="4" t="inlineStr">
        <is>
          <t>Kiểm tra cấu hình production (DEBUG, secret, HTTPS, cookie, CSRF origin)</t>
        </is>
      </c>
      <c r="G34" s="4" t="inlineStr">
        <is>
          <t>BE-10</t>
        </is>
      </c>
      <c r="H34" s="4" t="inlineStr">
        <is>
          <t>check --deploy sạch trên EC2; không lộ secret trong log</t>
        </is>
      </c>
      <c r="I34" s="7" t="inlineStr">
        <is>
          <t>N6</t>
        </is>
      </c>
      <c r="J34" s="7" t="inlineStr">
        <is>
          <t>Chưa làm</t>
        </is>
      </c>
      <c r="K34" s="7" t="inlineStr">
        <is>
          <t>Chưa</t>
        </is>
      </c>
      <c r="L34" s="4" t="inlineStr"/>
      <c r="M34" s="4" t="inlineStr"/>
      <c r="N34" s="7">
        <f>IF(AND(J34="Hoàn tất",K34="Đạt",L34&lt;&gt;"",D34&lt;&gt;E34),1,0)</f>
        <v/>
      </c>
      <c r="O34" s="7">
        <f>IF(N34=1,"Xong",IF(AND(SUMIFS($N$6:$N$57,$A$6:$A$57,"BE-10")=1),"Có thể bắt đầu","Chờ task trước"))</f>
        <v/>
      </c>
    </row>
    <row r="35">
      <c r="A35" s="7" t="inlineStr">
        <is>
          <t>SF41</t>
        </is>
      </c>
      <c r="B35" s="7" t="inlineStr">
        <is>
          <t>Đợt 1</t>
        </is>
      </c>
      <c r="C35" s="7" t="inlineStr">
        <is>
          <t>Deploy</t>
        </is>
      </c>
      <c r="D35" s="7" t="inlineStr">
        <is>
          <t>TV5</t>
        </is>
      </c>
      <c r="E35" s="7" t="inlineStr">
        <is>
          <t>TV3</t>
        </is>
      </c>
      <c r="F35" s="4" t="inlineStr">
        <is>
          <t>Kiểm tra tên miền và giao diện public schoolfoodusth.store</t>
        </is>
      </c>
      <c r="G35" s="4" t="inlineStr">
        <is>
          <t>SF39, SF40</t>
        </is>
      </c>
      <c r="H35" s="4" t="inlineStr">
        <is>
          <t>HTTPS, đăng nhập, thao tác chính chạy trên domain thật</t>
        </is>
      </c>
      <c r="I35" s="7" t="inlineStr">
        <is>
          <t>N7</t>
        </is>
      </c>
      <c r="J35" s="7" t="inlineStr">
        <is>
          <t>Chưa làm</t>
        </is>
      </c>
      <c r="K35" s="7" t="inlineStr">
        <is>
          <t>Chưa</t>
        </is>
      </c>
      <c r="L35" s="4" t="inlineStr"/>
      <c r="M35" s="4" t="inlineStr"/>
      <c r="N35" s="7">
        <f>IF(AND(J35="Hoàn tất",K35="Đạt",L35&lt;&gt;"",D35&lt;&gt;E35),1,0)</f>
        <v/>
      </c>
      <c r="O35" s="7">
        <f>IF(N35=1,"Xong",IF(AND(SUMIFS($N$6:$N$57,$A$6:$A$57,"SF39")=1,SUMIFS($N$6:$N$57,$A$6:$A$57,"SF40")=1),"Có thể bắt đầu","Chờ task trước"))</f>
        <v/>
      </c>
    </row>
    <row r="36">
      <c r="A36" s="7" t="inlineStr">
        <is>
          <t>SF42</t>
        </is>
      </c>
      <c r="B36" s="7" t="inlineStr">
        <is>
          <t>Đợt 1</t>
        </is>
      </c>
      <c r="C36" s="7" t="inlineStr">
        <is>
          <t>Deploy</t>
        </is>
      </c>
      <c r="D36" s="7" t="inlineStr">
        <is>
          <t>TV6</t>
        </is>
      </c>
      <c r="E36" s="7" t="inlineStr">
        <is>
          <t>TV1</t>
        </is>
      </c>
      <c r="F36" s="4" t="inlineStr">
        <is>
          <t>Bàn giao bản deploy + diễn tập khôi phục từ backup</t>
        </is>
      </c>
      <c r="G36" s="4" t="inlineStr">
        <is>
          <t>SF41, BE-17</t>
        </is>
      </c>
      <c r="H36" s="4" t="inlineStr">
        <is>
          <t>Restore backup vào DB tạm thành công, có biên bản</t>
        </is>
      </c>
      <c r="I36" s="7" t="inlineStr">
        <is>
          <t>N8</t>
        </is>
      </c>
      <c r="J36" s="7" t="inlineStr">
        <is>
          <t>Chưa làm</t>
        </is>
      </c>
      <c r="K36" s="7" t="inlineStr">
        <is>
          <t>Chưa</t>
        </is>
      </c>
      <c r="L36" s="4" t="inlineStr"/>
      <c r="M36" s="4" t="inlineStr"/>
      <c r="N36" s="7">
        <f>IF(AND(J36="Hoàn tất",K36="Đạt",L36&lt;&gt;"",D36&lt;&gt;E36),1,0)</f>
        <v/>
      </c>
      <c r="O36" s="7">
        <f>IF(N36=1,"Xong",IF(AND(SUMIFS($N$6:$N$57,$A$6:$A$57,"SF41")=1,SUMIFS($N$6:$N$57,$A$6:$A$57,"BE-17")=1),"Có thể bắt đầu","Chờ task trước"))</f>
        <v/>
      </c>
    </row>
    <row r="37">
      <c r="A37" s="7" t="inlineStr">
        <is>
          <t>SF48</t>
        </is>
      </c>
      <c r="B37" s="7" t="inlineStr">
        <is>
          <t>Đợt 1</t>
        </is>
      </c>
      <c r="C37" s="7" t="inlineStr">
        <is>
          <t>Nghiệm thu</t>
        </is>
      </c>
      <c r="D37" s="7" t="inlineStr">
        <is>
          <t>TV6</t>
        </is>
      </c>
      <c r="E37" s="7" t="inlineStr">
        <is>
          <t>TV1</t>
        </is>
      </c>
      <c r="F37" s="4" t="inlineStr">
        <is>
          <t>Nghiệm thu lớp và suất (NT35–NT37)</t>
        </is>
      </c>
      <c r="G37" s="4" t="inlineStr">
        <is>
          <t>BE-12, FE-08</t>
        </is>
      </c>
      <c r="H37" s="4" t="inlineStr">
        <is>
          <t>NT35–NT37 đạt trên máy thứ hai</t>
        </is>
      </c>
      <c r="I37" s="7" t="inlineStr">
        <is>
          <t>N8</t>
        </is>
      </c>
      <c r="J37" s="7" t="inlineStr">
        <is>
          <t>Chưa làm</t>
        </is>
      </c>
      <c r="K37" s="7" t="inlineStr">
        <is>
          <t>Chưa</t>
        </is>
      </c>
      <c r="L37" s="4" t="inlineStr"/>
      <c r="M37" s="4" t="inlineStr"/>
      <c r="N37" s="7">
        <f>IF(AND(J37="Hoàn tất",K37="Đạt",L37&lt;&gt;"",D37&lt;&gt;E37),1,0)</f>
        <v/>
      </c>
      <c r="O37" s="7">
        <f>IF(N37=1,"Xong",IF(AND(SUMIFS($N$6:$N$57,$A$6:$A$57,"BE-12")=1,SUMIFS($N$6:$N$57,$A$6:$A$57,"FE-08")=1),"Có thể bắt đầu","Chờ task trước"))</f>
        <v/>
      </c>
    </row>
    <row r="38">
      <c r="A38" s="7" t="inlineStr">
        <is>
          <t>SF54</t>
        </is>
      </c>
      <c r="B38" s="7" t="inlineStr">
        <is>
          <t>Đợt 1</t>
        </is>
      </c>
      <c r="C38" s="7" t="inlineStr">
        <is>
          <t>Nghiệm thu</t>
        </is>
      </c>
      <c r="D38" s="7" t="inlineStr">
        <is>
          <t>TV6</t>
        </is>
      </c>
      <c r="E38" s="7" t="inlineStr">
        <is>
          <t>TV1</t>
        </is>
      </c>
      <c r="F38" s="4" t="inlineStr">
        <is>
          <t>Nghiệm thu món và thực đơn (NT14–NT19)</t>
        </is>
      </c>
      <c r="G38" s="4" t="inlineStr">
        <is>
          <t>BE-13, FE-04, FE-05</t>
        </is>
      </c>
      <c r="H38" s="4" t="inlineStr">
        <is>
          <t>NT14–NT19 đạt; thịt 60 g + 10 g = 70 g/suất</t>
        </is>
      </c>
      <c r="I38" s="7" t="inlineStr">
        <is>
          <t>N8</t>
        </is>
      </c>
      <c r="J38" s="7" t="inlineStr">
        <is>
          <t>Chưa làm</t>
        </is>
      </c>
      <c r="K38" s="7" t="inlineStr">
        <is>
          <t>Chưa</t>
        </is>
      </c>
      <c r="L38" s="4" t="inlineStr"/>
      <c r="M38" s="4" t="inlineStr"/>
      <c r="N38" s="7">
        <f>IF(AND(J38="Hoàn tất",K38="Đạt",L38&lt;&gt;"",D38&lt;&gt;E38),1,0)</f>
        <v/>
      </c>
      <c r="O38" s="7">
        <f>IF(N38=1,"Xong",IF(AND(SUMIFS($N$6:$N$57,$A$6:$A$57,"BE-13")=1,SUMIFS($N$6:$N$57,$A$6:$A$57,"FE-04")=1,SUMIFS($N$6:$N$57,$A$6:$A$57,"FE-05")=1),"Có thể bắt đầu","Chờ task trước"))</f>
        <v/>
      </c>
    </row>
    <row r="39">
      <c r="A39" s="7" t="inlineStr">
        <is>
          <t>QA-01</t>
        </is>
      </c>
      <c r="B39" s="7" t="inlineStr">
        <is>
          <t>Đợt 1</t>
        </is>
      </c>
      <c r="C39" s="7" t="inlineStr">
        <is>
          <t>Nghiệm thu</t>
        </is>
      </c>
      <c r="D39" s="7" t="inlineStr">
        <is>
          <t>TV6</t>
        </is>
      </c>
      <c r="E39" s="7" t="inlineStr">
        <is>
          <t>TV1</t>
        </is>
      </c>
      <c r="F39" s="4" t="inlineStr">
        <is>
          <t>Nghiệm thu bảo mật và email (NT01–NT13, NT20–NT34)</t>
        </is>
      </c>
      <c r="G39" s="4" t="inlineStr">
        <is>
          <t>BE-16, BE-17, FE-09</t>
        </is>
      </c>
      <c r="H39" s="4" t="inlineStr">
        <is>
          <t>Mọi NT của khối PR1/PR3/PR4 đạt, có bằng chứng</t>
        </is>
      </c>
      <c r="I39" s="7" t="inlineStr">
        <is>
          <t>N8</t>
        </is>
      </c>
      <c r="J39" s="7" t="inlineStr">
        <is>
          <t>Chưa làm</t>
        </is>
      </c>
      <c r="K39" s="7" t="inlineStr">
        <is>
          <t>Chưa</t>
        </is>
      </c>
      <c r="L39" s="4" t="inlineStr"/>
      <c r="M39" s="4" t="inlineStr"/>
      <c r="N39" s="7">
        <f>IF(AND(J39="Hoàn tất",K39="Đạt",L39&lt;&gt;"",D39&lt;&gt;E39),1,0)</f>
        <v/>
      </c>
      <c r="O39" s="7">
        <f>IF(N39=1,"Xong",IF(AND(SUMIFS($N$6:$N$57,$A$6:$A$57,"BE-16")=1,SUMIFS($N$6:$N$57,$A$6:$A$57,"BE-17")=1,SUMIFS($N$6:$N$57,$A$6:$A$57,"FE-09")=1),"Có thể bắt đầu","Chờ task trước"))</f>
        <v/>
      </c>
    </row>
    <row r="40">
      <c r="A40" s="8" t="inlineStr">
        <is>
          <t>SF55</t>
        </is>
      </c>
      <c r="B40" s="8" t="inlineStr">
        <is>
          <t>Đợt 2</t>
        </is>
      </c>
      <c r="C40" s="8" t="inlineStr">
        <is>
          <t>Backend</t>
        </is>
      </c>
      <c r="D40" s="7" t="inlineStr">
        <is>
          <t>TV1</t>
        </is>
      </c>
      <c r="E40" s="7" t="inlineStr">
        <is>
          <t>TV6</t>
        </is>
      </c>
      <c r="F40" s="4" t="inlineStr">
        <is>
          <t>Contract + migration nhu cầu và phân bổ (DemandRevision/Line, StockAllocation)</t>
        </is>
      </c>
      <c r="G40" s="4" t="inlineStr">
        <is>
          <t>SF54</t>
        </is>
      </c>
      <c r="H40" s="4" t="inlineStr">
        <is>
          <t>Thứ tự khóa theo plan_final §3; trigger trạng thái</t>
        </is>
      </c>
      <c r="I40" s="7" t="inlineStr"/>
      <c r="J40" s="7" t="inlineStr">
        <is>
          <t>Chưa làm</t>
        </is>
      </c>
      <c r="K40" s="7" t="inlineStr">
        <is>
          <t>Chưa</t>
        </is>
      </c>
      <c r="L40" s="4" t="inlineStr"/>
      <c r="M40" s="4" t="inlineStr"/>
      <c r="N40" s="7">
        <f>IF(AND(J40="Hoàn tất",K40="Đạt",L40&lt;&gt;"",D40&lt;&gt;E40),1,0)</f>
        <v/>
      </c>
      <c r="O40" s="7">
        <f>IF(N40=1,"Xong",IF(AND(SUMIFS($N$6:$N$57,$A$6:$A$57,"SF54")=1),"Có thể bắt đầu","Chờ task trước"))</f>
        <v/>
      </c>
    </row>
    <row r="41">
      <c r="A41" s="8" t="inlineStr">
        <is>
          <t>SF56</t>
        </is>
      </c>
      <c r="B41" s="8" t="inlineStr">
        <is>
          <t>Đợt 2</t>
        </is>
      </c>
      <c r="C41" s="8" t="inlineStr">
        <is>
          <t>Backend</t>
        </is>
      </c>
      <c r="D41" s="7" t="inlineStr">
        <is>
          <t>TV2</t>
        </is>
      </c>
      <c r="E41" s="7" t="inlineStr">
        <is>
          <t>TV4</t>
        </is>
      </c>
      <c r="F41" s="4" t="inlineStr">
        <is>
          <t>Service tính nhu cầu + đề xuất mua/giữ hàng</t>
        </is>
      </c>
      <c r="G41" s="4" t="inlineStr">
        <is>
          <t>SF55</t>
        </is>
      </c>
      <c r="H41" s="4" t="inlineStr">
        <is>
          <t>300 × 70 g = 21 kg; đề xuất 21 + 1 − 5 − 4 = 13 kg</t>
        </is>
      </c>
      <c r="I41" s="7" t="inlineStr"/>
      <c r="J41" s="7" t="inlineStr">
        <is>
          <t>Chưa làm</t>
        </is>
      </c>
      <c r="K41" s="7" t="inlineStr">
        <is>
          <t>Chưa</t>
        </is>
      </c>
      <c r="L41" s="4" t="inlineStr"/>
      <c r="M41" s="4" t="inlineStr"/>
      <c r="N41" s="7">
        <f>IF(AND(J41="Hoàn tất",K41="Đạt",L41&lt;&gt;"",D41&lt;&gt;E41),1,0)</f>
        <v/>
      </c>
      <c r="O41" s="7">
        <f>IF(N41=1,"Xong",IF(AND(SUMIFS($N$6:$N$57,$A$6:$A$57,"SF55")=1),"Có thể bắt đầu","Chờ task trước"))</f>
        <v/>
      </c>
    </row>
    <row r="42">
      <c r="A42" s="8" t="inlineStr">
        <is>
          <t>SF57</t>
        </is>
      </c>
      <c r="B42" s="8" t="inlineStr">
        <is>
          <t>Đợt 2</t>
        </is>
      </c>
      <c r="C42" s="8" t="inlineStr">
        <is>
          <t>Frontend</t>
        </is>
      </c>
      <c r="D42" s="7" t="inlineStr">
        <is>
          <t>TV3</t>
        </is>
      </c>
      <c r="E42" s="7" t="inlineStr">
        <is>
          <t>TV5</t>
        </is>
      </c>
      <c r="F42" s="4" t="inlineStr">
        <is>
          <t>Màn hình nhu cầu</t>
        </is>
      </c>
      <c r="G42" s="4" t="inlineStr">
        <is>
          <t>SF56</t>
        </is>
      </c>
      <c r="H42" s="4" t="inlineStr">
        <is>
          <t>Hiện nhu cầu theo food, dự phòng có lý do</t>
        </is>
      </c>
      <c r="I42" s="7" t="inlineStr"/>
      <c r="J42" s="7" t="inlineStr">
        <is>
          <t>Chưa làm</t>
        </is>
      </c>
      <c r="K42" s="7" t="inlineStr">
        <is>
          <t>Chưa</t>
        </is>
      </c>
      <c r="L42" s="4" t="inlineStr"/>
      <c r="M42" s="4" t="inlineStr"/>
      <c r="N42" s="7">
        <f>IF(AND(J42="Hoàn tất",K42="Đạt",L42&lt;&gt;"",D42&lt;&gt;E42),1,0)</f>
        <v/>
      </c>
      <c r="O42" s="7">
        <f>IF(N42=1,"Xong",IF(AND(SUMIFS($N$6:$N$57,$A$6:$A$57,"SF56")=1),"Có thể bắt đầu","Chờ task trước"))</f>
        <v/>
      </c>
    </row>
    <row r="43">
      <c r="A43" s="8" t="inlineStr">
        <is>
          <t>SF58</t>
        </is>
      </c>
      <c r="B43" s="8" t="inlineStr">
        <is>
          <t>Đợt 2</t>
        </is>
      </c>
      <c r="C43" s="8" t="inlineStr">
        <is>
          <t>Backend</t>
        </is>
      </c>
      <c r="D43" s="7" t="inlineStr">
        <is>
          <t>TV4</t>
        </is>
      </c>
      <c r="E43" s="7" t="inlineStr">
        <is>
          <t>TV2</t>
        </is>
      </c>
      <c r="F43" s="4" t="inlineStr">
        <is>
          <t>API nhu cầu, tính lại, duyệt đề xuất (version → 409)</t>
        </is>
      </c>
      <c r="G43" s="4" t="inlineStr">
        <is>
          <t>SF55, SF56</t>
        </is>
      </c>
      <c r="H43" s="4" t="inlineStr">
        <is>
          <t>Hai người duyệt cùng lúc → một bị 409</t>
        </is>
      </c>
      <c r="I43" s="7" t="inlineStr"/>
      <c r="J43" s="7" t="inlineStr">
        <is>
          <t>Chưa làm</t>
        </is>
      </c>
      <c r="K43" s="7" t="inlineStr">
        <is>
          <t>Chưa</t>
        </is>
      </c>
      <c r="L43" s="4" t="inlineStr"/>
      <c r="M43" s="4" t="inlineStr"/>
      <c r="N43" s="7">
        <f>IF(AND(J43="Hoàn tất",K43="Đạt",L43&lt;&gt;"",D43&lt;&gt;E43),1,0)</f>
        <v/>
      </c>
      <c r="O43" s="7">
        <f>IF(N43=1,"Xong",IF(AND(SUMIFS($N$6:$N$57,$A$6:$A$57,"SF55")=1,SUMIFS($N$6:$N$57,$A$6:$A$57,"SF56")=1),"Có thể bắt đầu","Chờ task trước"))</f>
        <v/>
      </c>
    </row>
    <row r="44">
      <c r="A44" s="8" t="inlineStr">
        <is>
          <t>SF59</t>
        </is>
      </c>
      <c r="B44" s="8" t="inlineStr">
        <is>
          <t>Đợt 2</t>
        </is>
      </c>
      <c r="C44" s="8" t="inlineStr">
        <is>
          <t>Frontend</t>
        </is>
      </c>
      <c r="D44" s="7" t="inlineStr">
        <is>
          <t>TV5</t>
        </is>
      </c>
      <c r="E44" s="7" t="inlineStr">
        <is>
          <t>TV3</t>
        </is>
      </c>
      <c r="F44" s="4" t="inlineStr">
        <is>
          <t>Điều chỉnh và chênh lệch đề xuất</t>
        </is>
      </c>
      <c r="G44" s="4" t="inlineStr">
        <is>
          <t>SF57, SF58</t>
        </is>
      </c>
      <c r="H44" s="4" t="inlineStr">
        <is>
          <t>Đề xuất lỗi thời được đánh dấu</t>
        </is>
      </c>
      <c r="I44" s="7" t="inlineStr"/>
      <c r="J44" s="7" t="inlineStr">
        <is>
          <t>Chưa làm</t>
        </is>
      </c>
      <c r="K44" s="7" t="inlineStr">
        <is>
          <t>Chưa</t>
        </is>
      </c>
      <c r="L44" s="4" t="inlineStr"/>
      <c r="M44" s="4" t="inlineStr"/>
      <c r="N44" s="7">
        <f>IF(AND(J44="Hoàn tất",K44="Đạt",L44&lt;&gt;"",D44&lt;&gt;E44),1,0)</f>
        <v/>
      </c>
      <c r="O44" s="7">
        <f>IF(N44=1,"Xong",IF(AND(SUMIFS($N$6:$N$57,$A$6:$A$57,"SF57")=1,SUMIFS($N$6:$N$57,$A$6:$A$57,"SF58")=1),"Có thể bắt đầu","Chờ task trước"))</f>
        <v/>
      </c>
    </row>
    <row r="45">
      <c r="A45" s="8" t="inlineStr">
        <is>
          <t>SF60</t>
        </is>
      </c>
      <c r="B45" s="8" t="inlineStr">
        <is>
          <t>Đợt 2</t>
        </is>
      </c>
      <c r="C45" s="8" t="inlineStr">
        <is>
          <t>Nghiệm thu</t>
        </is>
      </c>
      <c r="D45" s="7" t="inlineStr">
        <is>
          <t>TV6</t>
        </is>
      </c>
      <c r="E45" s="7" t="inlineStr">
        <is>
          <t>TV1</t>
        </is>
      </c>
      <c r="F45" s="4" t="inlineStr">
        <is>
          <t>Nghiệm thu nhu cầu và chống trùng (NT40–NT41)</t>
        </is>
      </c>
      <c r="G45" s="4" t="inlineStr">
        <is>
          <t>SF57, SF58, SF59</t>
        </is>
      </c>
      <c r="H45" s="4" t="inlineStr">
        <is>
          <t>NT40–NT41 đạt</t>
        </is>
      </c>
      <c r="I45" s="7" t="inlineStr"/>
      <c r="J45" s="7" t="inlineStr">
        <is>
          <t>Chưa làm</t>
        </is>
      </c>
      <c r="K45" s="7" t="inlineStr">
        <is>
          <t>Chưa</t>
        </is>
      </c>
      <c r="L45" s="4" t="inlineStr"/>
      <c r="M45" s="4" t="inlineStr"/>
      <c r="N45" s="7">
        <f>IF(AND(J45="Hoàn tất",K45="Đạt",L45&lt;&gt;"",D45&lt;&gt;E45),1,0)</f>
        <v/>
      </c>
      <c r="O45" s="7">
        <f>IF(N45=1,"Xong",IF(AND(SUMIFS($N$6:$N$57,$A$6:$A$57,"SF57")=1,SUMIFS($N$6:$N$57,$A$6:$A$57,"SF58")=1,SUMIFS($N$6:$N$57,$A$6:$A$57,"SF59")=1),"Có thể bắt đầu","Chờ task trước"))</f>
        <v/>
      </c>
    </row>
    <row r="46">
      <c r="A46" s="8" t="inlineStr">
        <is>
          <t>SF61</t>
        </is>
      </c>
      <c r="B46" s="8" t="inlineStr">
        <is>
          <t>Đợt 2</t>
        </is>
      </c>
      <c r="C46" s="8" t="inlineStr">
        <is>
          <t>Backend</t>
        </is>
      </c>
      <c r="D46" s="7" t="inlineStr">
        <is>
          <t>TV1</t>
        </is>
      </c>
      <c r="E46" s="7" t="inlineStr">
        <is>
          <t>TV6</t>
        </is>
      </c>
      <c r="F46" s="4" t="inlineStr">
        <is>
          <t>Contract + migration đơn đặt (PurchaseOrder/Line, ReceiptLine.po_line)</t>
        </is>
      </c>
      <c r="G46" s="4" t="inlineStr">
        <is>
          <t>SF60</t>
        </is>
      </c>
      <c r="H46" s="4" t="inlineStr">
        <is>
          <t>Trigger chặn nhận vượt số đặt</t>
        </is>
      </c>
      <c r="I46" s="7" t="inlineStr"/>
      <c r="J46" s="7" t="inlineStr">
        <is>
          <t>Chưa làm</t>
        </is>
      </c>
      <c r="K46" s="7" t="inlineStr">
        <is>
          <t>Chưa</t>
        </is>
      </c>
      <c r="L46" s="4" t="inlineStr"/>
      <c r="M46" s="4" t="inlineStr"/>
      <c r="N46" s="7">
        <f>IF(AND(J46="Hoàn tất",K46="Đạt",L46&lt;&gt;"",D46&lt;&gt;E46),1,0)</f>
        <v/>
      </c>
      <c r="O46" s="7">
        <f>IF(N46=1,"Xong",IF(AND(SUMIFS($N$6:$N$57,$A$6:$A$57,"SF60")=1),"Có thể bắt đầu","Chờ task trước"))</f>
        <v/>
      </c>
    </row>
    <row r="47">
      <c r="A47" s="8" t="inlineStr">
        <is>
          <t>SF62</t>
        </is>
      </c>
      <c r="B47" s="8" t="inlineStr">
        <is>
          <t>Đợt 2</t>
        </is>
      </c>
      <c r="C47" s="8" t="inlineStr">
        <is>
          <t>Backend</t>
        </is>
      </c>
      <c r="D47" s="7" t="inlineStr">
        <is>
          <t>TV2</t>
        </is>
      </c>
      <c r="E47" s="7" t="inlineStr">
        <is>
          <t>TV4</t>
        </is>
      </c>
      <c r="F47" s="4" t="inlineStr">
        <is>
          <t>Nghiệp vụ đặt hàng + nhận theo đơn, chuyển allocation</t>
        </is>
      </c>
      <c r="G47" s="4" t="inlineStr">
        <is>
          <t>SF61</t>
        </is>
      </c>
      <c r="H47" s="4" t="inlineStr">
        <is>
          <t>Đặt 13: nhận 10 rồi 3; thêm 4 → 409</t>
        </is>
      </c>
      <c r="I47" s="7" t="inlineStr"/>
      <c r="J47" s="7" t="inlineStr">
        <is>
          <t>Chưa làm</t>
        </is>
      </c>
      <c r="K47" s="7" t="inlineStr">
        <is>
          <t>Chưa</t>
        </is>
      </c>
      <c r="L47" s="4" t="inlineStr"/>
      <c r="M47" s="4" t="inlineStr"/>
      <c r="N47" s="7">
        <f>IF(AND(J47="Hoàn tất",K47="Đạt",L47&lt;&gt;"",D47&lt;&gt;E47),1,0)</f>
        <v/>
      </c>
      <c r="O47" s="7">
        <f>IF(N47=1,"Xong",IF(AND(SUMIFS($N$6:$N$57,$A$6:$A$57,"SF61")=1),"Có thể bắt đầu","Chờ task trước"))</f>
        <v/>
      </c>
    </row>
    <row r="48">
      <c r="A48" s="8" t="inlineStr">
        <is>
          <t>SF63</t>
        </is>
      </c>
      <c r="B48" s="8" t="inlineStr">
        <is>
          <t>Đợt 2</t>
        </is>
      </c>
      <c r="C48" s="8" t="inlineStr">
        <is>
          <t>Frontend</t>
        </is>
      </c>
      <c r="D48" s="7" t="inlineStr">
        <is>
          <t>TV3</t>
        </is>
      </c>
      <c r="E48" s="7" t="inlineStr">
        <is>
          <t>TV5</t>
        </is>
      </c>
      <c r="F48" s="4" t="inlineStr">
        <is>
          <t>Giao diện đơn đặt</t>
        </is>
      </c>
      <c r="G48" s="4" t="inlineStr">
        <is>
          <t>SF62</t>
        </is>
      </c>
      <c r="H48" s="4" t="inlineStr">
        <is>
          <t>Tạo đơn từ đề xuất, gửi NCC</t>
        </is>
      </c>
      <c r="I48" s="7" t="inlineStr"/>
      <c r="J48" s="7" t="inlineStr">
        <is>
          <t>Chưa làm</t>
        </is>
      </c>
      <c r="K48" s="7" t="inlineStr">
        <is>
          <t>Chưa</t>
        </is>
      </c>
      <c r="L48" s="4" t="inlineStr"/>
      <c r="M48" s="4" t="inlineStr"/>
      <c r="N48" s="7">
        <f>IF(AND(J48="Hoàn tất",K48="Đạt",L48&lt;&gt;"",D48&lt;&gt;E48),1,0)</f>
        <v/>
      </c>
      <c r="O48" s="7">
        <f>IF(N48=1,"Xong",IF(AND(SUMIFS($N$6:$N$57,$A$6:$A$57,"SF62")=1),"Có thể bắt đầu","Chờ task trước"))</f>
        <v/>
      </c>
    </row>
    <row r="49">
      <c r="A49" s="8" t="inlineStr">
        <is>
          <t>SF64</t>
        </is>
      </c>
      <c r="B49" s="8" t="inlineStr">
        <is>
          <t>Đợt 2</t>
        </is>
      </c>
      <c r="C49" s="8" t="inlineStr">
        <is>
          <t>Backend</t>
        </is>
      </c>
      <c r="D49" s="7" t="inlineStr">
        <is>
          <t>TV4</t>
        </is>
      </c>
      <c r="E49" s="7" t="inlineStr">
        <is>
          <t>TV2</t>
        </is>
      </c>
      <c r="F49" s="4" t="inlineStr">
        <is>
          <t>API đơn và phiếu nhập liên kết</t>
        </is>
      </c>
      <c r="G49" s="4" t="inlineStr">
        <is>
          <t>SF61, SF62</t>
        </is>
      </c>
      <c r="H49" s="4" t="inlineStr">
        <is>
          <t>Chốt hai lần không cộng đôi</t>
        </is>
      </c>
      <c r="I49" s="7" t="inlineStr"/>
      <c r="J49" s="7" t="inlineStr">
        <is>
          <t>Chưa làm</t>
        </is>
      </c>
      <c r="K49" s="7" t="inlineStr">
        <is>
          <t>Chưa</t>
        </is>
      </c>
      <c r="L49" s="4" t="inlineStr"/>
      <c r="M49" s="4" t="inlineStr"/>
      <c r="N49" s="7">
        <f>IF(AND(J49="Hoàn tất",K49="Đạt",L49&lt;&gt;"",D49&lt;&gt;E49),1,0)</f>
        <v/>
      </c>
      <c r="O49" s="7">
        <f>IF(N49=1,"Xong",IF(AND(SUMIFS($N$6:$N$57,$A$6:$A$57,"SF61")=1,SUMIFS($N$6:$N$57,$A$6:$A$57,"SF62")=1),"Có thể bắt đầu","Chờ task trước"))</f>
        <v/>
      </c>
    </row>
    <row r="50">
      <c r="A50" s="8" t="inlineStr">
        <is>
          <t>SF65</t>
        </is>
      </c>
      <c r="B50" s="8" t="inlineStr">
        <is>
          <t>Đợt 2</t>
        </is>
      </c>
      <c r="C50" s="8" t="inlineStr">
        <is>
          <t>Frontend</t>
        </is>
      </c>
      <c r="D50" s="7" t="inlineStr">
        <is>
          <t>TV5</t>
        </is>
      </c>
      <c r="E50" s="7" t="inlineStr">
        <is>
          <t>TV3</t>
        </is>
      </c>
      <c r="F50" s="4" t="inlineStr">
        <is>
          <t>Giao diện nhận hàng theo đơn</t>
        </is>
      </c>
      <c r="G50" s="4" t="inlineStr">
        <is>
          <t>SF63, SF64</t>
        </is>
      </c>
      <c r="H50" s="4" t="inlineStr">
        <is>
          <t>Hiện còn thiếu bao nhiêu mỗi dòng</t>
        </is>
      </c>
      <c r="I50" s="7" t="inlineStr"/>
      <c r="J50" s="7" t="inlineStr">
        <is>
          <t>Chưa làm</t>
        </is>
      </c>
      <c r="K50" s="7" t="inlineStr">
        <is>
          <t>Chưa</t>
        </is>
      </c>
      <c r="L50" s="4" t="inlineStr"/>
      <c r="M50" s="4" t="inlineStr"/>
      <c r="N50" s="7">
        <f>IF(AND(J50="Hoàn tất",K50="Đạt",L50&lt;&gt;"",D50&lt;&gt;E50),1,0)</f>
        <v/>
      </c>
      <c r="O50" s="7">
        <f>IF(N50=1,"Xong",IF(AND(SUMIFS($N$6:$N$57,$A$6:$A$57,"SF63")=1,SUMIFS($N$6:$N$57,$A$6:$A$57,"SF64")=1),"Có thể bắt đầu","Chờ task trước"))</f>
        <v/>
      </c>
    </row>
    <row r="51">
      <c r="A51" s="8" t="inlineStr">
        <is>
          <t>SF66</t>
        </is>
      </c>
      <c r="B51" s="8" t="inlineStr">
        <is>
          <t>Đợt 2</t>
        </is>
      </c>
      <c r="C51" s="8" t="inlineStr">
        <is>
          <t>Nghiệm thu</t>
        </is>
      </c>
      <c r="D51" s="7" t="inlineStr">
        <is>
          <t>TV6</t>
        </is>
      </c>
      <c r="E51" s="7" t="inlineStr">
        <is>
          <t>TV1</t>
        </is>
      </c>
      <c r="F51" s="4" t="inlineStr">
        <is>
          <t>Nghiệm thu đặt và nhận hàng (NT42–NT43)</t>
        </is>
      </c>
      <c r="G51" s="4" t="inlineStr">
        <is>
          <t>SF63, SF64, SF65</t>
        </is>
      </c>
      <c r="H51" s="4" t="inlineStr">
        <is>
          <t>NT42–NT43 đạt</t>
        </is>
      </c>
      <c r="I51" s="7" t="inlineStr"/>
      <c r="J51" s="7" t="inlineStr">
        <is>
          <t>Chưa làm</t>
        </is>
      </c>
      <c r="K51" s="7" t="inlineStr">
        <is>
          <t>Chưa</t>
        </is>
      </c>
      <c r="L51" s="4" t="inlineStr"/>
      <c r="M51" s="4" t="inlineStr"/>
      <c r="N51" s="7">
        <f>IF(AND(J51="Hoàn tất",K51="Đạt",L51&lt;&gt;"",D51&lt;&gt;E51),1,0)</f>
        <v/>
      </c>
      <c r="O51" s="7">
        <f>IF(N51=1,"Xong",IF(AND(SUMIFS($N$6:$N$57,$A$6:$A$57,"SF63")=1,SUMIFS($N$6:$N$57,$A$6:$A$57,"SF64")=1,SUMIFS($N$6:$N$57,$A$6:$A$57,"SF65")=1),"Có thể bắt đầu","Chờ task trước"))</f>
        <v/>
      </c>
    </row>
    <row r="52">
      <c r="A52" s="8" t="inlineStr">
        <is>
          <t>SF67</t>
        </is>
      </c>
      <c r="B52" s="8" t="inlineStr">
        <is>
          <t>Đợt 2</t>
        </is>
      </c>
      <c r="C52" s="8" t="inlineStr">
        <is>
          <t>Backend</t>
        </is>
      </c>
      <c r="D52" s="7" t="inlineStr">
        <is>
          <t>TV1</t>
        </is>
      </c>
      <c r="E52" s="7" t="inlineStr">
        <is>
          <t>TV6</t>
        </is>
      </c>
      <c r="F52" s="4" t="inlineStr">
        <is>
          <t>Contract + migration xuất theo ngày, đóng ngày</t>
        </is>
      </c>
      <c r="G52" s="4" t="inlineStr">
        <is>
          <t>SF66</t>
        </is>
      </c>
      <c r="H52" s="4" t="inlineStr">
        <is>
          <t>Trigger chặn sửa ngày đã đóng</t>
        </is>
      </c>
      <c r="I52" s="7" t="inlineStr"/>
      <c r="J52" s="7" t="inlineStr">
        <is>
          <t>Chưa làm</t>
        </is>
      </c>
      <c r="K52" s="7" t="inlineStr">
        <is>
          <t>Chưa</t>
        </is>
      </c>
      <c r="L52" s="4" t="inlineStr"/>
      <c r="M52" s="4" t="inlineStr"/>
      <c r="N52" s="7">
        <f>IF(AND(J52="Hoàn tất",K52="Đạt",L52&lt;&gt;"",D52&lt;&gt;E52),1,0)</f>
        <v/>
      </c>
      <c r="O52" s="7">
        <f>IF(N52=1,"Xong",IF(AND(SUMIFS($N$6:$N$57,$A$6:$A$57,"SF66")=1),"Có thể bắt đầu","Chờ task trước"))</f>
        <v/>
      </c>
    </row>
    <row r="53">
      <c r="A53" s="8" t="inlineStr">
        <is>
          <t>SF68</t>
        </is>
      </c>
      <c r="B53" s="8" t="inlineStr">
        <is>
          <t>Đợt 2</t>
        </is>
      </c>
      <c r="C53" s="8" t="inlineStr">
        <is>
          <t>Backend</t>
        </is>
      </c>
      <c r="D53" s="7" t="inlineStr">
        <is>
          <t>TV2</t>
        </is>
      </c>
      <c r="E53" s="7" t="inlineStr">
        <is>
          <t>TV4</t>
        </is>
      </c>
      <c r="F53" s="4" t="inlineStr">
        <is>
          <t>Nghiệp vụ xuất theo ngày + chi phí ngày/suất</t>
        </is>
      </c>
      <c r="G53" s="4" t="inlineStr">
        <is>
          <t>SF67</t>
        </is>
      </c>
      <c r="H53" s="4" t="inlineStr">
        <is>
          <t>Chi phí/suất theo suất thực tế; giá vốn ngày cũ không đổi</t>
        </is>
      </c>
      <c r="I53" s="7" t="inlineStr"/>
      <c r="J53" s="7" t="inlineStr">
        <is>
          <t>Chưa làm</t>
        </is>
      </c>
      <c r="K53" s="7" t="inlineStr">
        <is>
          <t>Chưa</t>
        </is>
      </c>
      <c r="L53" s="4" t="inlineStr"/>
      <c r="M53" s="4" t="inlineStr"/>
      <c r="N53" s="7">
        <f>IF(AND(J53="Hoàn tất",K53="Đạt",L53&lt;&gt;"",D53&lt;&gt;E53),1,0)</f>
        <v/>
      </c>
      <c r="O53" s="7">
        <f>IF(N53=1,"Xong",IF(AND(SUMIFS($N$6:$N$57,$A$6:$A$57,"SF67")=1),"Có thể bắt đầu","Chờ task trước"))</f>
        <v/>
      </c>
    </row>
    <row r="54">
      <c r="A54" s="8" t="inlineStr">
        <is>
          <t>SF69</t>
        </is>
      </c>
      <c r="B54" s="8" t="inlineStr">
        <is>
          <t>Đợt 2</t>
        </is>
      </c>
      <c r="C54" s="8" t="inlineStr">
        <is>
          <t>Frontend</t>
        </is>
      </c>
      <c r="D54" s="7" t="inlineStr">
        <is>
          <t>TV3</t>
        </is>
      </c>
      <c r="E54" s="7" t="inlineStr">
        <is>
          <t>TV5</t>
        </is>
      </c>
      <c r="F54" s="4" t="inlineStr">
        <is>
          <t>Màn Hôm nay / tổng quan bữa trưa</t>
        </is>
      </c>
      <c r="G54" s="4" t="inlineStr">
        <is>
          <t>SF68</t>
        </is>
      </c>
      <c r="H54" s="4" t="inlineStr">
        <is>
          <t>Dòng thời gian theo trạng thái ngày thật</t>
        </is>
      </c>
      <c r="I54" s="7" t="inlineStr"/>
      <c r="J54" s="7" t="inlineStr">
        <is>
          <t>Chưa làm</t>
        </is>
      </c>
      <c r="K54" s="7" t="inlineStr">
        <is>
          <t>Chưa</t>
        </is>
      </c>
      <c r="L54" s="4" t="inlineStr"/>
      <c r="M54" s="4" t="inlineStr"/>
      <c r="N54" s="7">
        <f>IF(AND(J54="Hoàn tất",K54="Đạt",L54&lt;&gt;"",D54&lt;&gt;E54),1,0)</f>
        <v/>
      </c>
      <c r="O54" s="7">
        <f>IF(N54=1,"Xong",IF(AND(SUMIFS($N$6:$N$57,$A$6:$A$57,"SF68")=1),"Có thể bắt đầu","Chờ task trước"))</f>
        <v/>
      </c>
    </row>
    <row r="55">
      <c r="A55" s="8" t="inlineStr">
        <is>
          <t>SF70</t>
        </is>
      </c>
      <c r="B55" s="8" t="inlineStr">
        <is>
          <t>Đợt 2</t>
        </is>
      </c>
      <c r="C55" s="8" t="inlineStr">
        <is>
          <t>Backend</t>
        </is>
      </c>
      <c r="D55" s="7" t="inlineStr">
        <is>
          <t>TV4</t>
        </is>
      </c>
      <c r="E55" s="7" t="inlineStr">
        <is>
          <t>TV2</t>
        </is>
      </c>
      <c r="F55" s="4" t="inlineStr">
        <is>
          <t>API báo cáo ngày + test tích hợp</t>
        </is>
      </c>
      <c r="G55" s="4" t="inlineStr">
        <is>
          <t>SF67, SF68</t>
        </is>
      </c>
      <c r="H55" s="4" t="inlineStr">
        <is>
          <t>Báo cáo khớp ledger</t>
        </is>
      </c>
      <c r="I55" s="7" t="inlineStr"/>
      <c r="J55" s="7" t="inlineStr">
        <is>
          <t>Chưa làm</t>
        </is>
      </c>
      <c r="K55" s="7" t="inlineStr">
        <is>
          <t>Chưa</t>
        </is>
      </c>
      <c r="L55" s="4" t="inlineStr"/>
      <c r="M55" s="4" t="inlineStr"/>
      <c r="N55" s="7">
        <f>IF(AND(J55="Hoàn tất",K55="Đạt",L55&lt;&gt;"",D55&lt;&gt;E55),1,0)</f>
        <v/>
      </c>
      <c r="O55" s="7">
        <f>IF(N55=1,"Xong",IF(AND(SUMIFS($N$6:$N$57,$A$6:$A$57,"SF67")=1,SUMIFS($N$6:$N$57,$A$6:$A$57,"SF68")=1),"Có thể bắt đầu","Chờ task trước"))</f>
        <v/>
      </c>
    </row>
    <row r="56">
      <c r="A56" s="8" t="inlineStr">
        <is>
          <t>SF71</t>
        </is>
      </c>
      <c r="B56" s="8" t="inlineStr">
        <is>
          <t>Đợt 2</t>
        </is>
      </c>
      <c r="C56" s="8" t="inlineStr">
        <is>
          <t>Frontend</t>
        </is>
      </c>
      <c r="D56" s="7" t="inlineStr">
        <is>
          <t>TV5</t>
        </is>
      </c>
      <c r="E56" s="7" t="inlineStr">
        <is>
          <t>TV3</t>
        </is>
      </c>
      <c r="F56" s="4" t="inlineStr">
        <is>
          <t>Hoàn thiện UX + hướng dẫn sử dụng</t>
        </is>
      </c>
      <c r="G56" s="4" t="inlineStr">
        <is>
          <t>SF69, SF70</t>
        </is>
      </c>
      <c r="H56" s="4" t="inlineStr">
        <is>
          <t>Hướng dẫn cho Quản lý và Hiệu trưởng</t>
        </is>
      </c>
      <c r="I56" s="7" t="inlineStr"/>
      <c r="J56" s="7" t="inlineStr">
        <is>
          <t>Chưa làm</t>
        </is>
      </c>
      <c r="K56" s="7" t="inlineStr">
        <is>
          <t>Chưa</t>
        </is>
      </c>
      <c r="L56" s="4" t="inlineStr"/>
      <c r="M56" s="4" t="inlineStr"/>
      <c r="N56" s="7">
        <f>IF(AND(J56="Hoàn tất",K56="Đạt",L56&lt;&gt;"",D56&lt;&gt;E56),1,0)</f>
        <v/>
      </c>
      <c r="O56" s="7">
        <f>IF(N56=1,"Xong",IF(AND(SUMIFS($N$6:$N$57,$A$6:$A$57,"SF69")=1,SUMIFS($N$6:$N$57,$A$6:$A$57,"SF70")=1),"Có thể bắt đầu","Chờ task trước"))</f>
        <v/>
      </c>
    </row>
    <row r="57">
      <c r="A57" s="8" t="inlineStr">
        <is>
          <t>SF72</t>
        </is>
      </c>
      <c r="B57" s="8" t="inlineStr">
        <is>
          <t>Đợt 2</t>
        </is>
      </c>
      <c r="C57" s="8" t="inlineStr">
        <is>
          <t>Nghiệm thu</t>
        </is>
      </c>
      <c r="D57" s="7" t="inlineStr">
        <is>
          <t>TV6</t>
        </is>
      </c>
      <c r="E57" s="7" t="inlineStr">
        <is>
          <t>TV1</t>
        </is>
      </c>
      <c r="F57" s="4" t="inlineStr">
        <is>
          <t>Nghiệm thu toàn bộ bữa trưa (NT44–NT46)</t>
        </is>
      </c>
      <c r="G57" s="4" t="inlineStr">
        <is>
          <t>SF69, SF70, SF71</t>
        </is>
      </c>
      <c r="H57" s="4" t="inlineStr">
        <is>
          <t>Kịch bản plan_final §6.1 chạy hết trên máy thứ hai</t>
        </is>
      </c>
      <c r="I57" s="7" t="inlineStr"/>
      <c r="J57" s="7" t="inlineStr">
        <is>
          <t>Chưa làm</t>
        </is>
      </c>
      <c r="K57" s="7" t="inlineStr">
        <is>
          <t>Chưa</t>
        </is>
      </c>
      <c r="L57" s="4" t="inlineStr"/>
      <c r="M57" s="4" t="inlineStr"/>
      <c r="N57" s="7">
        <f>IF(AND(J57="Hoàn tất",K57="Đạt",L57&lt;&gt;"",D57&lt;&gt;E57),1,0)</f>
        <v/>
      </c>
      <c r="O57" s="7">
        <f>IF(N57=1,"Xong",IF(AND(SUMIFS($N$6:$N$57,$A$6:$A$57,"SF69")=1,SUMIFS($N$6:$N$57,$A$6:$A$57,"SF70")=1,SUMIFS($N$6:$N$57,$A$6:$A$57,"SF71")=1),"Có thể bắt đầu","Chờ task trước"))</f>
        <v/>
      </c>
    </row>
  </sheetData>
  <autoFilter ref="A5:O57"/>
  <conditionalFormatting sqref="J6:J57">
    <cfRule type="expression" priority="1" dxfId="0">
      <formula>$J6="Đang làm"</formula>
    </cfRule>
    <cfRule type="expression" priority="2" dxfId="1">
      <formula>$J6="Bị chặn"</formula>
    </cfRule>
    <cfRule type="expression" priority="3" dxfId="2">
      <formula>$J6="Chờ review"</formula>
    </cfRule>
    <cfRule type="expression" priority="4" dxfId="3">
      <formula>$J6="Hoàn tất"</formula>
    </cfRule>
  </conditionalFormatting>
  <conditionalFormatting sqref="K6:K57">
    <cfRule type="expression" priority="5" dxfId="3">
      <formula>$K6="Đạt"</formula>
    </cfRule>
    <cfRule type="expression" priority="6" dxfId="1">
      <formula>$K6="Cần sửa"</formula>
    </cfRule>
  </conditionalFormatting>
  <conditionalFormatting sqref="O6:O57">
    <cfRule type="expression" priority="7" dxfId="3">
      <formula>$O6="Xong"</formula>
    </cfRule>
    <cfRule type="expression" priority="8" dxfId="2">
      <formula>$O6="Có thể bắt đầu"</formula>
    </cfRule>
  </conditionalFormatting>
  <dataValidations count="3">
    <dataValidation sqref="D6:E57" showDropDown="0" showInputMessage="0" showErrorMessage="0" allowBlank="0" type="list">
      <formula1>"TV1,TV2,TV3,TV4,TV5,TV6"</formula1>
    </dataValidation>
    <dataValidation sqref="J6:J57" showDropDown="0" showInputMessage="0" showErrorMessage="0" allowBlank="0" type="list">
      <formula1>"Chưa làm,Đang làm,Bị chặn,Chờ review,Hoàn tất"</formula1>
    </dataValidation>
    <dataValidation sqref="K6:K57" showDropDown="0" showInputMessage="0" showErrorMessage="0" allowBlank="0" type="list">
      <formula1>"Chưa,Đạt,Cần sửa"</formula1>
    </dataValidation>
  </dataValidation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9"/>
  <sheetViews>
    <sheetView zoomScale="10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6" customWidth="1" min="2" max="2"/>
    <col width="15" customWidth="1" min="3" max="3"/>
    <col width="10" customWidth="1" min="4" max="4"/>
    <col width="50" customWidth="1" min="5" max="5"/>
    <col width="44" customWidth="1" min="6" max="6"/>
    <col width="30" customWidth="1" min="7" max="7"/>
    <col width="12" customWidth="1" min="8" max="8"/>
    <col width="11" customWidth="1" min="9" max="9"/>
    <col width="28" customWidth="1" min="10" max="10"/>
    <col width="10" customWidth="1" min="11" max="11"/>
  </cols>
  <sheetData>
    <row r="1">
      <c r="A1" s="1" t="inlineStr">
        <is>
          <t>SchoolFood — nghiệm thu (NT)</t>
        </is>
      </c>
    </row>
    <row r="2">
      <c r="A2" s="2" t="inlineStr">
        <is>
          <t>Người kiểm tra không phải người viết code của task liên quan. Ghi kết quả thực tế và bằng chứng (ảnh, log, link PR).</t>
        </is>
      </c>
    </row>
    <row r="3">
      <c r="A3" s="2" t="inlineStr">
        <is>
          <t>Được tính đạt = Trạng thái Đạt + có kết quả thực tế + có bằng chứng. Số liệu chuẩn: CLAUDE.md §6.</t>
        </is>
      </c>
    </row>
    <row r="5" ht="32" customHeight="1">
      <c r="A5" s="3" t="inlineStr">
        <is>
          <t>Mã</t>
        </is>
      </c>
      <c r="B5" s="3" t="inlineStr">
        <is>
          <t>Khối</t>
        </is>
      </c>
      <c r="C5" s="3" t="inlineStr">
        <is>
          <t>Task liên quan</t>
        </is>
      </c>
      <c r="D5" s="3" t="inlineStr">
        <is>
          <t>Người kiểm tra</t>
        </is>
      </c>
      <c r="E5" s="3" t="inlineStr">
        <is>
          <t>Thiết lập và thao tác</t>
        </is>
      </c>
      <c r="F5" s="3" t="inlineStr">
        <is>
          <t>Kết quả mong đợi</t>
        </is>
      </c>
      <c r="G5" s="3" t="inlineStr">
        <is>
          <t>Kết quả thực tế</t>
        </is>
      </c>
      <c r="H5" s="3" t="inlineStr">
        <is>
          <t>Trạng thái</t>
        </is>
      </c>
      <c r="I5" s="3" t="inlineStr">
        <is>
          <t>Ngày chạy</t>
        </is>
      </c>
      <c r="J5" s="3" t="inlineStr">
        <is>
          <t>Bằng chứng</t>
        </is>
      </c>
      <c r="K5" s="3" t="inlineStr">
        <is>
          <t>Được tính đạt</t>
        </is>
      </c>
    </row>
    <row r="6">
      <c r="A6" s="7" t="inlineStr">
        <is>
          <t>NT01</t>
        </is>
      </c>
      <c r="B6" s="4" t="inlineStr">
        <is>
          <t>PR1 Bảo mật</t>
        </is>
      </c>
      <c r="C6" s="7" t="inlineStr">
        <is>
          <t>BE-10, BE-16</t>
        </is>
      </c>
      <c r="D6" s="7" t="inlineStr">
        <is>
          <t>TV6</t>
        </is>
      </c>
      <c r="E6" s="4" t="inlineStr">
        <is>
          <t>Chưa đăng nhập gọi mọi API (trừ login, csrf, unsubscribe)</t>
        </is>
      </c>
      <c r="F6" s="4" t="inlineStr">
        <is>
          <t>401, không lộ dữ liệu</t>
        </is>
      </c>
      <c r="G6" s="4" t="inlineStr"/>
      <c r="H6" s="7" t="inlineStr">
        <is>
          <t>Chưa chạy</t>
        </is>
      </c>
      <c r="I6" s="7" t="inlineStr"/>
      <c r="J6" s="4" t="inlineStr"/>
      <c r="K6" s="7">
        <f>IF(AND(H6="Đạt",G6&lt;&gt;"",J6&lt;&gt;""),1,0)</f>
        <v/>
      </c>
    </row>
    <row r="7">
      <c r="A7" s="7" t="inlineStr">
        <is>
          <t>NT02</t>
        </is>
      </c>
      <c r="B7" s="4" t="inlineStr">
        <is>
          <t>PR1 Bảo mật</t>
        </is>
      </c>
      <c r="C7" s="7" t="inlineStr">
        <is>
          <t>BE-10, FE-01</t>
        </is>
      </c>
      <c r="D7" s="7" t="inlineStr">
        <is>
          <t>TV6</t>
        </is>
      </c>
      <c r="E7" s="4" t="inlineStr">
        <is>
          <t>Hiệu trưởng tạo phiếu nhập, chốt phiếu, sửa món (UI và API)</t>
        </is>
      </c>
      <c r="F7" s="4" t="inlineStr">
        <is>
          <t>Nút bị khóa có tooltip; API 403; DB không đổi</t>
        </is>
      </c>
      <c r="G7" s="4" t="inlineStr"/>
      <c r="H7" s="7" t="inlineStr">
        <is>
          <t>Chưa chạy</t>
        </is>
      </c>
      <c r="I7" s="7" t="inlineStr"/>
      <c r="J7" s="4" t="inlineStr"/>
      <c r="K7" s="7">
        <f>IF(AND(H7="Đạt",G7&lt;&gt;"",J7&lt;&gt;""),1,0)</f>
        <v/>
      </c>
    </row>
    <row r="8">
      <c r="A8" s="7" t="inlineStr">
        <is>
          <t>NT03</t>
        </is>
      </c>
      <c r="B8" s="4" t="inlineStr">
        <is>
          <t>PR1 Bảo mật</t>
        </is>
      </c>
      <c r="C8" s="7" t="inlineStr">
        <is>
          <t>BE-11, BE-15</t>
        </is>
      </c>
      <c r="D8" s="7" t="inlineStr">
        <is>
          <t>TV6</t>
        </is>
      </c>
      <c r="E8" s="4" t="inlineStr">
        <is>
          <t>Quản lý mở /tai-khoan, /nhat-ky và gọi /api/users/, /api/audit-logs/</t>
        </is>
      </c>
      <c r="F8" s="4" t="inlineStr">
        <is>
          <t>Không thấy menu; API 403</t>
        </is>
      </c>
      <c r="G8" s="4" t="inlineStr"/>
      <c r="H8" s="7" t="inlineStr">
        <is>
          <t>Chưa chạy</t>
        </is>
      </c>
      <c r="I8" s="7" t="inlineStr"/>
      <c r="J8" s="4" t="inlineStr"/>
      <c r="K8" s="7">
        <f>IF(AND(H8="Đạt",G8&lt;&gt;"",J8&lt;&gt;""),1,0)</f>
        <v/>
      </c>
    </row>
    <row r="9">
      <c r="A9" s="7" t="inlineStr">
        <is>
          <t>NT04</t>
        </is>
      </c>
      <c r="B9" s="4" t="inlineStr">
        <is>
          <t>PR1 Bảo mật</t>
        </is>
      </c>
      <c r="C9" s="7" t="inlineStr">
        <is>
          <t>BE-10</t>
        </is>
      </c>
      <c r="D9" s="7" t="inlineStr">
        <is>
          <t>TV6</t>
        </is>
      </c>
      <c r="E9" s="4" t="inlineStr">
        <is>
          <t>Đăng nhập sai mật khẩu 5 lần cùng username, rồi nhập đúng</t>
        </is>
      </c>
      <c r="F9" s="4" t="inlineStr">
        <is>
          <t>Lần 6 bị khóa 15 phút (429), thông báo không lộ tài khoản có tồn tại</t>
        </is>
      </c>
      <c r="G9" s="4" t="inlineStr"/>
      <c r="H9" s="7" t="inlineStr">
        <is>
          <t>Chưa chạy</t>
        </is>
      </c>
      <c r="I9" s="7" t="inlineStr"/>
      <c r="J9" s="4" t="inlineStr"/>
      <c r="K9" s="7">
        <f>IF(AND(H9="Đạt",G9&lt;&gt;"",J9&lt;&gt;""),1,0)</f>
        <v/>
      </c>
    </row>
    <row r="10">
      <c r="A10" s="7" t="inlineStr">
        <is>
          <t>NT05</t>
        </is>
      </c>
      <c r="B10" s="4" t="inlineStr">
        <is>
          <t>PR1 Bảo mật</t>
        </is>
      </c>
      <c r="C10" s="7" t="inlineStr">
        <is>
          <t>BE-10</t>
        </is>
      </c>
      <c r="D10" s="7" t="inlineStr">
        <is>
          <t>TV6</t>
        </is>
      </c>
      <c r="E10" s="4" t="inlineStr">
        <is>
          <t>Từ 1 IP đăng nhập sai 20 lần với 20 username khác nhau</t>
        </is>
      </c>
      <c r="F10" s="4" t="inlineStr">
        <is>
          <t>Bị khóa theo IP (429)</t>
        </is>
      </c>
      <c r="G10" s="4" t="inlineStr"/>
      <c r="H10" s="7" t="inlineStr">
        <is>
          <t>Chưa chạy</t>
        </is>
      </c>
      <c r="I10" s="7" t="inlineStr"/>
      <c r="J10" s="4" t="inlineStr"/>
      <c r="K10" s="7">
        <f>IF(AND(H10="Đạt",G10&lt;&gt;"",J10&lt;&gt;""),1,0)</f>
        <v/>
      </c>
    </row>
    <row r="11">
      <c r="A11" s="7" t="inlineStr">
        <is>
          <t>NT06</t>
        </is>
      </c>
      <c r="B11" s="4" t="inlineStr">
        <is>
          <t>PR1 Bảo mật</t>
        </is>
      </c>
      <c r="C11" s="7" t="inlineStr">
        <is>
          <t>BE-10</t>
        </is>
      </c>
      <c r="D11" s="7" t="inlineStr">
        <is>
          <t>TV6</t>
        </is>
      </c>
      <c r="E11" s="4" t="inlineStr">
        <is>
          <t>Đăng nhập, để yên 31 phút rồi thao tác</t>
        </is>
      </c>
      <c r="F11" s="4" t="inlineStr">
        <is>
          <t>Phải đăng nhập lại; thông báo phiên hết hạn</t>
        </is>
      </c>
      <c r="G11" s="4" t="inlineStr"/>
      <c r="H11" s="7" t="inlineStr">
        <is>
          <t>Chưa chạy</t>
        </is>
      </c>
      <c r="I11" s="7" t="inlineStr"/>
      <c r="J11" s="4" t="inlineStr"/>
      <c r="K11" s="7">
        <f>IF(AND(H11="Đạt",G11&lt;&gt;"",J11&lt;&gt;""),1,0)</f>
        <v/>
      </c>
    </row>
    <row r="12">
      <c r="A12" s="7" t="inlineStr">
        <is>
          <t>NT07</t>
        </is>
      </c>
      <c r="B12" s="4" t="inlineStr">
        <is>
          <t>PR1 Bảo mật</t>
        </is>
      </c>
      <c r="C12" s="7" t="inlineStr">
        <is>
          <t>BE-11</t>
        </is>
      </c>
      <c r="D12" s="7" t="inlineStr">
        <is>
          <t>TV6</t>
        </is>
      </c>
      <c r="E12" s="4" t="inlineStr">
        <is>
          <t>Hiệu trưởng khóa tài khoản Quản lý đang đăng nhập ở máy khác</t>
        </is>
      </c>
      <c r="F12" s="4" t="inlineStr">
        <is>
          <t>Máy kia bị đăng xuất ở thao tác kế tiếp</t>
        </is>
      </c>
      <c r="G12" s="4" t="inlineStr"/>
      <c r="H12" s="7" t="inlineStr">
        <is>
          <t>Chưa chạy</t>
        </is>
      </c>
      <c r="I12" s="7" t="inlineStr"/>
      <c r="J12" s="4" t="inlineStr"/>
      <c r="K12" s="7">
        <f>IF(AND(H12="Đạt",G12&lt;&gt;"",J12&lt;&gt;""),1,0)</f>
        <v/>
      </c>
    </row>
    <row r="13">
      <c r="A13" s="7" t="inlineStr">
        <is>
          <t>NT08</t>
        </is>
      </c>
      <c r="B13" s="4" t="inlineStr">
        <is>
          <t>PR1 Bảo mật</t>
        </is>
      </c>
      <c r="C13" s="7" t="inlineStr">
        <is>
          <t>BE-11</t>
        </is>
      </c>
      <c r="D13" s="7" t="inlineStr">
        <is>
          <t>TV6</t>
        </is>
      </c>
      <c r="E13" s="4" t="inlineStr">
        <is>
          <t>Đặt lại mật khẩu cho người đang đăng nhập</t>
        </is>
      </c>
      <c r="F13" s="4" t="inlineStr">
        <is>
          <t>Phiên cũ mất; mật khẩu mới dùng được</t>
        </is>
      </c>
      <c r="G13" s="4" t="inlineStr"/>
      <c r="H13" s="7" t="inlineStr">
        <is>
          <t>Chưa chạy</t>
        </is>
      </c>
      <c r="I13" s="7" t="inlineStr"/>
      <c r="J13" s="4" t="inlineStr"/>
      <c r="K13" s="7">
        <f>IF(AND(H13="Đạt",G13&lt;&gt;"",J13&lt;&gt;""),1,0)</f>
        <v/>
      </c>
    </row>
    <row r="14">
      <c r="A14" s="7" t="inlineStr">
        <is>
          <t>NT09</t>
        </is>
      </c>
      <c r="B14" s="4" t="inlineStr">
        <is>
          <t>PR1 Bảo mật</t>
        </is>
      </c>
      <c r="C14" s="7" t="inlineStr">
        <is>
          <t>BE-10, BE-11</t>
        </is>
      </c>
      <c r="D14" s="7" t="inlineStr">
        <is>
          <t>TV6</t>
        </is>
      </c>
      <c r="E14" s="4" t="inlineStr">
        <is>
          <t>Tạo tài khoản với mật khẩu 8 ký tự, "1234567890", giống username</t>
        </is>
      </c>
      <c r="F14" s="4" t="inlineStr">
        <is>
          <t>Cả ba bị từ chối với lý do tiếng Việt</t>
        </is>
      </c>
      <c r="G14" s="4" t="inlineStr"/>
      <c r="H14" s="7" t="inlineStr">
        <is>
          <t>Chưa chạy</t>
        </is>
      </c>
      <c r="I14" s="7" t="inlineStr"/>
      <c r="J14" s="4" t="inlineStr"/>
      <c r="K14" s="7">
        <f>IF(AND(H14="Đạt",G14&lt;&gt;"",J14&lt;&gt;""),1,0)</f>
        <v/>
      </c>
    </row>
    <row r="15">
      <c r="A15" s="7" t="inlineStr">
        <is>
          <t>NT10</t>
        </is>
      </c>
      <c r="B15" s="4" t="inlineStr">
        <is>
          <t>PR1 Bảo mật</t>
        </is>
      </c>
      <c r="C15" s="7" t="inlineStr">
        <is>
          <t>BE-11</t>
        </is>
      </c>
      <c r="D15" s="7" t="inlineStr">
        <is>
          <t>TV6</t>
        </is>
      </c>
      <c r="E15" s="4" t="inlineStr">
        <is>
          <t>Hiệu trưởng duy nhất tự khóa mình / tự đổi sang Quản lý</t>
        </is>
      </c>
      <c r="F15" s="4" t="inlineStr">
        <is>
          <t>409, không đổi</t>
        </is>
      </c>
      <c r="G15" s="4" t="inlineStr"/>
      <c r="H15" s="7" t="inlineStr">
        <is>
          <t>Chưa chạy</t>
        </is>
      </c>
      <c r="I15" s="7" t="inlineStr"/>
      <c r="J15" s="4" t="inlineStr"/>
      <c r="K15" s="7">
        <f>IF(AND(H15="Đạt",G15&lt;&gt;"",J15&lt;&gt;""),1,0)</f>
        <v/>
      </c>
    </row>
    <row r="16">
      <c r="A16" s="7" t="inlineStr">
        <is>
          <t>NT11</t>
        </is>
      </c>
      <c r="B16" s="4" t="inlineStr">
        <is>
          <t>PR1 Bảo mật</t>
        </is>
      </c>
      <c r="C16" s="7" t="inlineStr">
        <is>
          <t>BE-15</t>
        </is>
      </c>
      <c r="D16" s="7" t="inlineStr">
        <is>
          <t>TV1</t>
        </is>
      </c>
      <c r="E16" s="4" t="inlineStr">
        <is>
          <t>Thực hiện tạo/chốt phiếu, sửa món, khóa user; xem nhật ký; thử UPDATE AuditLog bằng SQL</t>
        </is>
      </c>
      <c r="F16" s="4" t="inlineStr">
        <is>
          <t>Đủ dòng, có trước → sau, không mật khẩu; SQL UPDATE bị chặn</t>
        </is>
      </c>
      <c r="G16" s="4" t="inlineStr"/>
      <c r="H16" s="7" t="inlineStr">
        <is>
          <t>Chưa chạy</t>
        </is>
      </c>
      <c r="I16" s="7" t="inlineStr"/>
      <c r="J16" s="4" t="inlineStr"/>
      <c r="K16" s="7">
        <f>IF(AND(H16="Đạt",G16&lt;&gt;"",J16&lt;&gt;""),1,0)</f>
        <v/>
      </c>
    </row>
    <row r="17">
      <c r="A17" s="7" t="inlineStr">
        <is>
          <t>NT12</t>
        </is>
      </c>
      <c r="B17" s="4" t="inlineStr">
        <is>
          <t>PR1 Bảo mật</t>
        </is>
      </c>
      <c r="C17" s="7" t="inlineStr">
        <is>
          <t>BE-09</t>
        </is>
      </c>
      <c r="D17" s="7" t="inlineStr">
        <is>
          <t>TV6</t>
        </is>
      </c>
      <c r="E17" s="4" t="inlineStr">
        <is>
          <t>Gửi body [], {"is_active":"false"}, quantity 0.1 (số), ngày 2026-99-99</t>
        </is>
      </c>
      <c r="F17" s="4" t="inlineStr">
        <is>
          <t>400 JSON có field lỗi; không tạo dòng nào</t>
        </is>
      </c>
      <c r="G17" s="4" t="inlineStr"/>
      <c r="H17" s="7" t="inlineStr">
        <is>
          <t>Chưa chạy</t>
        </is>
      </c>
      <c r="I17" s="7" t="inlineStr"/>
      <c r="J17" s="4" t="inlineStr"/>
      <c r="K17" s="7">
        <f>IF(AND(H17="Đạt",G17&lt;&gt;"",J17&lt;&gt;""),1,0)</f>
        <v/>
      </c>
    </row>
    <row r="18">
      <c r="A18" s="7" t="inlineStr">
        <is>
          <t>NT13</t>
        </is>
      </c>
      <c r="B18" s="4" t="inlineStr">
        <is>
          <t>PR1 Bảo mật</t>
        </is>
      </c>
      <c r="C18" s="7" t="inlineStr">
        <is>
          <t>BE-16</t>
        </is>
      </c>
      <c r="D18" s="7" t="inlineStr">
        <is>
          <t>TV1</t>
        </is>
      </c>
      <c r="E18" s="4" t="inlineStr">
        <is>
          <t>Gọi API ghi không có/ sai CSRF token khi đã đăng nhập</t>
        </is>
      </c>
      <c r="F18" s="4" t="inlineStr">
        <is>
          <t>403</t>
        </is>
      </c>
      <c r="G18" s="4" t="inlineStr"/>
      <c r="H18" s="7" t="inlineStr">
        <is>
          <t>Chưa chạy</t>
        </is>
      </c>
      <c r="I18" s="7" t="inlineStr"/>
      <c r="J18" s="4" t="inlineStr"/>
      <c r="K18" s="7">
        <f>IF(AND(H18="Đạt",G18&lt;&gt;"",J18&lt;&gt;""),1,0)</f>
        <v/>
      </c>
    </row>
    <row r="19">
      <c r="A19" s="7" t="inlineStr">
        <is>
          <t>NT14</t>
        </is>
      </c>
      <c r="B19" s="4" t="inlineStr">
        <is>
          <t>PR2 Thực đơn</t>
        </is>
      </c>
      <c r="C19" s="7" t="inlineStr">
        <is>
          <t>BE-06</t>
        </is>
      </c>
      <c r="D19" s="7" t="inlineStr">
        <is>
          <t>TV6</t>
        </is>
      </c>
      <c r="E19" s="4" t="inlineStr">
        <is>
          <t>Món thịt kho 60 g thịt/suất, canh 0,4 g tiêu/suất (food đơn vị kg)</t>
        </is>
      </c>
      <c r="F19" s="4" t="inlineStr">
        <is>
          <t>Lưu 0.060000 kg và 0.000400 kg</t>
        </is>
      </c>
      <c r="G19" s="4" t="inlineStr"/>
      <c r="H19" s="7" t="inlineStr">
        <is>
          <t>Chưa chạy</t>
        </is>
      </c>
      <c r="I19" s="7" t="inlineStr"/>
      <c r="J19" s="4" t="inlineStr"/>
      <c r="K19" s="7">
        <f>IF(AND(H19="Đạt",G19&lt;&gt;"",J19&lt;&gt;""),1,0)</f>
        <v/>
      </c>
    </row>
    <row r="20">
      <c r="A20" s="7" t="inlineStr">
        <is>
          <t>NT15</t>
        </is>
      </c>
      <c r="B20" s="4" t="inlineStr">
        <is>
          <t>PR2 Thực đơn</t>
        </is>
      </c>
      <c r="C20" s="7" t="inlineStr">
        <is>
          <t>BE-06</t>
        </is>
      </c>
      <c r="D20" s="7" t="inlineStr">
        <is>
          <t>TV6</t>
        </is>
      </c>
      <c r="E20" s="4" t="inlineStr">
        <is>
          <t>Nhập định lượng ml cho food đơn vị kg</t>
        </is>
      </c>
      <c r="F20" s="4" t="inlineStr">
        <is>
          <t>400, báo đơn vị không quy đổi được</t>
        </is>
      </c>
      <c r="G20" s="4" t="inlineStr"/>
      <c r="H20" s="7" t="inlineStr">
        <is>
          <t>Chưa chạy</t>
        </is>
      </c>
      <c r="I20" s="7" t="inlineStr"/>
      <c r="J20" s="4" t="inlineStr"/>
      <c r="K20" s="7">
        <f>IF(AND(H20="Đạt",G20&lt;&gt;"",J20&lt;&gt;""),1,0)</f>
        <v/>
      </c>
    </row>
    <row r="21">
      <c r="A21" s="7" t="inlineStr">
        <is>
          <t>NT16</t>
        </is>
      </c>
      <c r="B21" s="4" t="inlineStr">
        <is>
          <t>PR2 Thực đơn</t>
        </is>
      </c>
      <c r="C21" s="7" t="inlineStr">
        <is>
          <t>BE-07, FE-04</t>
        </is>
      </c>
      <c r="D21" s="7" t="inlineStr">
        <is>
          <t>TV6</t>
        </is>
      </c>
      <c r="E21" s="4" t="inlineStr">
        <is>
          <t>Xem tuần có T7, CN và một ngày lễ đã đánh dấu</t>
        </is>
      </c>
      <c r="F21" s="4" t="inlineStr">
        <is>
          <t>T2–T6 có món; T7/CN/lễ hiện Nghỉ</t>
        </is>
      </c>
      <c r="G21" s="4" t="inlineStr"/>
      <c r="H21" s="7" t="inlineStr">
        <is>
          <t>Chưa chạy</t>
        </is>
      </c>
      <c r="I21" s="7" t="inlineStr"/>
      <c r="J21" s="4" t="inlineStr"/>
      <c r="K21" s="7">
        <f>IF(AND(H21="Đạt",G21&lt;&gt;"",J21&lt;&gt;""),1,0)</f>
        <v/>
      </c>
    </row>
    <row r="22">
      <c r="A22" s="7" t="inlineStr">
        <is>
          <t>NT17</t>
        </is>
      </c>
      <c r="B22" s="4" t="inlineStr">
        <is>
          <t>PR2 Thực đơn</t>
        </is>
      </c>
      <c r="C22" s="7" t="inlineStr">
        <is>
          <t>BE-07, BE-13</t>
        </is>
      </c>
      <c r="D22" s="7" t="inlineStr">
        <is>
          <t>TV6</t>
        </is>
      </c>
      <c r="E22" s="4" t="inlineStr">
        <is>
          <t>Tạo thực đơn mới áp dụng từ ngày X (tương lai); thử áp dụng từ hôm qua</t>
        </is>
      </c>
      <c r="F22" s="4" t="inlineStr">
        <is>
          <t>Trước X giữ cũ, từ X dùng mới; áp dụng lùi bị 400</t>
        </is>
      </c>
      <c r="G22" s="4" t="inlineStr"/>
      <c r="H22" s="7" t="inlineStr">
        <is>
          <t>Chưa chạy</t>
        </is>
      </c>
      <c r="I22" s="7" t="inlineStr"/>
      <c r="J22" s="4" t="inlineStr"/>
      <c r="K22" s="7">
        <f>IF(AND(H22="Đạt",G22&lt;&gt;"",J22&lt;&gt;""),1,0)</f>
        <v/>
      </c>
    </row>
    <row r="23">
      <c r="A23" s="7" t="inlineStr">
        <is>
          <t>NT18</t>
        </is>
      </c>
      <c r="B23" s="4" t="inlineStr">
        <is>
          <t>PR2 Thực đơn</t>
        </is>
      </c>
      <c r="C23" s="7" t="inlineStr">
        <is>
          <t>BE-07</t>
        </is>
      </c>
      <c r="D23" s="7" t="inlineStr">
        <is>
          <t>TV6</t>
        </is>
      </c>
      <c r="E23" s="4" t="inlineStr">
        <is>
          <t>Ngày D đã qua (đã chụp) → sửa công thức món của D</t>
        </is>
      </c>
      <c r="F23" s="4" t="inlineStr">
        <is>
          <t>Thực đơn và định lượng ngày D không đổi</t>
        </is>
      </c>
      <c r="G23" s="4" t="inlineStr"/>
      <c r="H23" s="7" t="inlineStr">
        <is>
          <t>Chưa chạy</t>
        </is>
      </c>
      <c r="I23" s="7" t="inlineStr"/>
      <c r="J23" s="4" t="inlineStr"/>
      <c r="K23" s="7">
        <f>IF(AND(H23="Đạt",G23&lt;&gt;"",J23&lt;&gt;""),1,0)</f>
        <v/>
      </c>
    </row>
    <row r="24">
      <c r="A24" s="7" t="inlineStr">
        <is>
          <t>NT19</t>
        </is>
      </c>
      <c r="B24" s="4" t="inlineStr">
        <is>
          <t>PR2 Thực đơn</t>
        </is>
      </c>
      <c r="C24" s="7" t="inlineStr">
        <is>
          <t>BE-07</t>
        </is>
      </c>
      <c r="D24" s="7" t="inlineStr">
        <is>
          <t>TV6</t>
        </is>
      </c>
      <c r="E24" s="4" t="inlineStr">
        <is>
          <t>Lưu thực đơn thiếu Thứ Tư / có món chưa có công thức</t>
        </is>
      </c>
      <c r="F24" s="4" t="inlineStr">
        <is>
          <t>400 nêu rõ thứ/món lỗi</t>
        </is>
      </c>
      <c r="G24" s="4" t="inlineStr"/>
      <c r="H24" s="7" t="inlineStr">
        <is>
          <t>Chưa chạy</t>
        </is>
      </c>
      <c r="I24" s="7" t="inlineStr"/>
      <c r="J24" s="4" t="inlineStr"/>
      <c r="K24" s="7">
        <f>IF(AND(H24="Đạt",G24&lt;&gt;"",J24&lt;&gt;""),1,0)</f>
        <v/>
      </c>
    </row>
    <row r="25">
      <c r="A25" s="7" t="inlineStr">
        <is>
          <t>NT20</t>
        </is>
      </c>
      <c r="B25" s="4" t="inlineStr">
        <is>
          <t>PR3 Email</t>
        </is>
      </c>
      <c r="C25" s="7" t="inlineStr">
        <is>
          <t>BE-04, BE-14</t>
        </is>
      </c>
      <c r="D25" s="7" t="inlineStr">
        <is>
          <t>TV1</t>
        </is>
      </c>
      <c r="E25" s="4" t="inlineStr">
        <is>
          <t>Thêm học sinh có email; query DB trực tiếp; xem danh sách</t>
        </is>
      </c>
      <c r="F25" s="4" t="inlineStr">
        <is>
          <t>DB chỉ có ciphertext; màn hình hiện email đã che</t>
        </is>
      </c>
      <c r="G25" s="4" t="inlineStr"/>
      <c r="H25" s="7" t="inlineStr">
        <is>
          <t>Chưa chạy</t>
        </is>
      </c>
      <c r="I25" s="7" t="inlineStr"/>
      <c r="J25" s="4" t="inlineStr"/>
      <c r="K25" s="7">
        <f>IF(AND(H25="Đạt",G25&lt;&gt;"",J25&lt;&gt;""),1,0)</f>
        <v/>
      </c>
    </row>
    <row r="26">
      <c r="A26" s="7" t="inlineStr">
        <is>
          <t>NT21</t>
        </is>
      </c>
      <c r="B26" s="4" t="inlineStr">
        <is>
          <t>PR3 Email</t>
        </is>
      </c>
      <c r="C26" s="7" t="inlineStr">
        <is>
          <t>BE-14</t>
        </is>
      </c>
      <c r="D26" s="7" t="inlineStr">
        <is>
          <t>TV1</t>
        </is>
      </c>
      <c r="E26" s="4" t="inlineStr">
        <is>
          <t>Quản lý bấm Hiện email; Hiệu trưởng thử gọi API hiện email</t>
        </is>
      </c>
      <c r="F26" s="4" t="inlineStr">
        <is>
          <t>Quản lý thấy và nhật ký ghi contact_reveal; Hiệu trưởng 403</t>
        </is>
      </c>
      <c r="G26" s="4" t="inlineStr"/>
      <c r="H26" s="7" t="inlineStr">
        <is>
          <t>Chưa chạy</t>
        </is>
      </c>
      <c r="I26" s="7" t="inlineStr"/>
      <c r="J26" s="4" t="inlineStr"/>
      <c r="K26" s="7">
        <f>IF(AND(H26="Đạt",G26&lt;&gt;"",J26&lt;&gt;""),1,0)</f>
        <v/>
      </c>
    </row>
    <row r="27">
      <c r="A27" s="7" t="inlineStr">
        <is>
          <t>NT22</t>
        </is>
      </c>
      <c r="B27" s="4" t="inlineStr">
        <is>
          <t>PR3 Email</t>
        </is>
      </c>
      <c r="C27" s="7" t="inlineStr">
        <is>
          <t>BE-14, FE-06</t>
        </is>
      </c>
      <c r="D27" s="7" t="inlineStr">
        <is>
          <t>TV1</t>
        </is>
      </c>
      <c r="E27" s="4" t="inlineStr">
        <is>
          <t>Import CSV 10 dòng, 1 dòng email sai: chạy xem trước rồi lưu</t>
        </is>
      </c>
      <c r="F27" s="4" t="inlineStr">
        <is>
          <t>Xem trước báo đúng dòng; lưu bị từ chối, không ghi dòng nào</t>
        </is>
      </c>
      <c r="G27" s="4" t="inlineStr"/>
      <c r="H27" s="7" t="inlineStr">
        <is>
          <t>Chưa chạy</t>
        </is>
      </c>
      <c r="I27" s="7" t="inlineStr"/>
      <c r="J27" s="4" t="inlineStr"/>
      <c r="K27" s="7">
        <f>IF(AND(H27="Đạt",G27&lt;&gt;"",J27&lt;&gt;""),1,0)</f>
        <v/>
      </c>
    </row>
    <row r="28">
      <c r="A28" s="7" t="inlineStr">
        <is>
          <t>NT23</t>
        </is>
      </c>
      <c r="B28" s="4" t="inlineStr">
        <is>
          <t>PR3 Email</t>
        </is>
      </c>
      <c r="C28" s="7" t="inlineStr">
        <is>
          <t>BE-14</t>
        </is>
      </c>
      <c r="D28" s="7" t="inlineStr">
        <is>
          <t>TV1</t>
        </is>
      </c>
      <c r="E28" s="4" t="inlineStr">
        <is>
          <t>Import dòng da_dong_y = khong</t>
        </is>
      </c>
      <c r="F28" s="4" t="inlineStr">
        <is>
          <t>Có học sinh, không có email</t>
        </is>
      </c>
      <c r="G28" s="4" t="inlineStr"/>
      <c r="H28" s="7" t="inlineStr">
        <is>
          <t>Chưa chạy</t>
        </is>
      </c>
      <c r="I28" s="7" t="inlineStr"/>
      <c r="J28" s="4" t="inlineStr"/>
      <c r="K28" s="7">
        <f>IF(AND(H28="Đạt",G28&lt;&gt;"",J28&lt;&gt;""),1,0)</f>
        <v/>
      </c>
    </row>
    <row r="29">
      <c r="A29" s="7" t="inlineStr">
        <is>
          <t>NT24</t>
        </is>
      </c>
      <c r="B29" s="4" t="inlineStr">
        <is>
          <t>PR3 Email</t>
        </is>
      </c>
      <c r="C29" s="7" t="inlineStr">
        <is>
          <t>BE-08</t>
        </is>
      </c>
      <c r="D29" s="7" t="inlineStr">
        <is>
          <t>TV1</t>
        </is>
      </c>
      <c r="E29" s="4" t="inlineStr">
        <is>
          <t>Phụ huynh có 2 bé; chạy send_daily_menu hai lần cùng ngày (EMAIL_MODE=smtp, hộp thư test)</t>
        </is>
      </c>
      <c r="F29" s="4" t="inlineStr">
        <is>
          <t>Nhận đúng 1 thư liệt kê 2 bé; lần 2 không gửi thêm</t>
        </is>
      </c>
      <c r="G29" s="4" t="inlineStr"/>
      <c r="H29" s="7" t="inlineStr">
        <is>
          <t>Chưa chạy</t>
        </is>
      </c>
      <c r="I29" s="7" t="inlineStr"/>
      <c r="J29" s="4" t="inlineStr"/>
      <c r="K29" s="7">
        <f>IF(AND(H29="Đạt",G29&lt;&gt;"",J29&lt;&gt;""),1,0)</f>
        <v/>
      </c>
    </row>
    <row r="30">
      <c r="A30" s="7" t="inlineStr">
        <is>
          <t>NT25</t>
        </is>
      </c>
      <c r="B30" s="4" t="inlineStr">
        <is>
          <t>PR3 Email</t>
        </is>
      </c>
      <c r="C30" s="7" t="inlineStr">
        <is>
          <t>BE-08</t>
        </is>
      </c>
      <c r="D30" s="7" t="inlineStr">
        <is>
          <t>TV1</t>
        </is>
      </c>
      <c r="E30" s="4" t="inlineStr">
        <is>
          <t>Chạy send_daily_menu cho Chủ nhật và ngày lễ</t>
        </is>
      </c>
      <c r="F30" s="4" t="inlineStr">
        <is>
          <t>Không gửi; log skipped</t>
        </is>
      </c>
      <c r="G30" s="4" t="inlineStr"/>
      <c r="H30" s="7" t="inlineStr">
        <is>
          <t>Chưa chạy</t>
        </is>
      </c>
      <c r="I30" s="7" t="inlineStr"/>
      <c r="J30" s="4" t="inlineStr"/>
      <c r="K30" s="7">
        <f>IF(AND(H30="Đạt",G30&lt;&gt;"",J30&lt;&gt;""),1,0)</f>
        <v/>
      </c>
    </row>
    <row r="31">
      <c r="A31" s="7" t="inlineStr">
        <is>
          <t>NT26</t>
        </is>
      </c>
      <c r="B31" s="4" t="inlineStr">
        <is>
          <t>PR3 Email</t>
        </is>
      </c>
      <c r="C31" s="7" t="inlineStr">
        <is>
          <t>BE-08, FE-07</t>
        </is>
      </c>
      <c r="D31" s="7" t="inlineStr">
        <is>
          <t>TV1</t>
        </is>
      </c>
      <c r="E31" s="4" t="inlineStr">
        <is>
          <t>Bấm link Hủy nhận trong thư rồi xác nhận; chạy gửi ngày hôm sau</t>
        </is>
      </c>
      <c r="F31" s="4" t="inlineStr">
        <is>
          <t>Không nhận thư nữa; nhật ký có email_unsubscribe</t>
        </is>
      </c>
      <c r="G31" s="4" t="inlineStr"/>
      <c r="H31" s="7" t="inlineStr">
        <is>
          <t>Chưa chạy</t>
        </is>
      </c>
      <c r="I31" s="7" t="inlineStr"/>
      <c r="J31" s="4" t="inlineStr"/>
      <c r="K31" s="7">
        <f>IF(AND(H31="Đạt",G31&lt;&gt;"",J31&lt;&gt;""),1,0)</f>
        <v/>
      </c>
    </row>
    <row r="32">
      <c r="A32" s="7" t="inlineStr">
        <is>
          <t>NT27</t>
        </is>
      </c>
      <c r="B32" s="4" t="inlineStr">
        <is>
          <t>PR3 Email</t>
        </is>
      </c>
      <c r="C32" s="7" t="inlineStr">
        <is>
          <t>BE-08</t>
        </is>
      </c>
      <c r="D32" s="7" t="inlineStr">
        <is>
          <t>TV1</t>
        </is>
      </c>
      <c r="E32" s="4" t="inlineStr">
        <is>
          <t>Gửi cho 3 phụ huynh; xem header và nội dung từng thư</t>
        </is>
      </c>
      <c r="F32" s="4" t="inlineStr">
        <is>
          <t>Mỗi thư một người nhận; không thấy địa chỉ/tên bé của người khác</t>
        </is>
      </c>
      <c r="G32" s="4" t="inlineStr"/>
      <c r="H32" s="7" t="inlineStr">
        <is>
          <t>Chưa chạy</t>
        </is>
      </c>
      <c r="I32" s="7" t="inlineStr"/>
      <c r="J32" s="4" t="inlineStr"/>
      <c r="K32" s="7">
        <f>IF(AND(H32="Đạt",G32&lt;&gt;"",J32&lt;&gt;""),1,0)</f>
        <v/>
      </c>
    </row>
    <row r="33">
      <c r="A33" s="7" t="inlineStr">
        <is>
          <t>NT28</t>
        </is>
      </c>
      <c r="B33" s="4" t="inlineStr">
        <is>
          <t>PR3 Email</t>
        </is>
      </c>
      <c r="C33" s="7" t="inlineStr">
        <is>
          <t>BE-14</t>
        </is>
      </c>
      <c r="D33" s="7" t="inlineStr">
        <is>
          <t>TV1</t>
        </is>
      </c>
      <c r="E33" s="4" t="inlineStr">
        <is>
          <t>Cho một bé nghỉ học (xóa)</t>
        </is>
      </c>
      <c r="F33" s="4" t="inlineStr">
        <is>
          <t>Học sinh và email bị xóa hẳn; nhật ký không chứa tên/email</t>
        </is>
      </c>
      <c r="G33" s="4" t="inlineStr"/>
      <c r="H33" s="7" t="inlineStr">
        <is>
          <t>Chưa chạy</t>
        </is>
      </c>
      <c r="I33" s="7" t="inlineStr"/>
      <c r="J33" s="4" t="inlineStr"/>
      <c r="K33" s="7">
        <f>IF(AND(H33="Đạt",G33&lt;&gt;"",J33&lt;&gt;""),1,0)</f>
        <v/>
      </c>
    </row>
    <row r="34">
      <c r="A34" s="7" t="inlineStr">
        <is>
          <t>NT29</t>
        </is>
      </c>
      <c r="B34" s="4" t="inlineStr">
        <is>
          <t>PR3 Email</t>
        </is>
      </c>
      <c r="C34" s="7" t="inlineStr">
        <is>
          <t>BE-08</t>
        </is>
      </c>
      <c r="D34" s="7" t="inlineStr">
        <is>
          <t>TV1</t>
        </is>
      </c>
      <c r="E34" s="4" t="inlineStr">
        <is>
          <t>EMAIL_MODE=dry_run, chạy gửi</t>
        </is>
      </c>
      <c r="F34" s="4" t="inlineStr">
        <is>
          <t>Không thư nào đi; log dry_run; UI hiện Chế độ thử</t>
        </is>
      </c>
      <c r="G34" s="4" t="inlineStr"/>
      <c r="H34" s="7" t="inlineStr">
        <is>
          <t>Chưa chạy</t>
        </is>
      </c>
      <c r="I34" s="7" t="inlineStr"/>
      <c r="J34" s="4" t="inlineStr"/>
      <c r="K34" s="7">
        <f>IF(AND(H34="Đạt",G34&lt;&gt;"",J34&lt;&gt;""),1,0)</f>
        <v/>
      </c>
    </row>
    <row r="35">
      <c r="A35" s="7" t="inlineStr">
        <is>
          <t>NT30</t>
        </is>
      </c>
      <c r="B35" s="4" t="inlineStr">
        <is>
          <t>PR4 Vận hành</t>
        </is>
      </c>
      <c r="C35" s="7" t="inlineStr">
        <is>
          <t>BE-17</t>
        </is>
      </c>
      <c r="D35" s="7" t="inlineStr">
        <is>
          <t>TV1</t>
        </is>
      </c>
      <c r="E35" s="4" t="inlineStr">
        <is>
          <t>Mở production, thao tác mọi màn, xem console</t>
        </is>
      </c>
      <c r="F35" s="4" t="inlineStr">
        <is>
          <t>Không lỗi CSP; header CSP, X-Frame-Options có mặt</t>
        </is>
      </c>
      <c r="G35" s="4" t="inlineStr"/>
      <c r="H35" s="7" t="inlineStr">
        <is>
          <t>Chưa chạy</t>
        </is>
      </c>
      <c r="I35" s="7" t="inlineStr"/>
      <c r="J35" s="4" t="inlineStr"/>
      <c r="K35" s="7">
        <f>IF(AND(H35="Đạt",G35&lt;&gt;"",J35&lt;&gt;""),1,0)</f>
        <v/>
      </c>
    </row>
    <row r="36">
      <c r="A36" s="7" t="inlineStr">
        <is>
          <t>NT31</t>
        </is>
      </c>
      <c r="B36" s="4" t="inlineStr">
        <is>
          <t>PR4 Vận hành</t>
        </is>
      </c>
      <c r="C36" s="7" t="inlineStr">
        <is>
          <t>BE-17</t>
        </is>
      </c>
      <c r="D36" s="7" t="inlineStr">
        <is>
          <t>TV1</t>
        </is>
      </c>
      <c r="E36" s="4" t="inlineStr">
        <is>
          <t>Mở /admin từ trình duyệt chưa xác thực Cloudflare Access</t>
        </is>
      </c>
      <c r="F36" s="4" t="inlineStr">
        <is>
          <t>Bị Cloudflare yêu cầu OTP email trước khi tới Django</t>
        </is>
      </c>
      <c r="G36" s="4" t="inlineStr"/>
      <c r="H36" s="7" t="inlineStr">
        <is>
          <t>Chưa chạy</t>
        </is>
      </c>
      <c r="I36" s="7" t="inlineStr"/>
      <c r="J36" s="4" t="inlineStr"/>
      <c r="K36" s="7">
        <f>IF(AND(H36="Đạt",G36&lt;&gt;"",J36&lt;&gt;""),1,0)</f>
        <v/>
      </c>
    </row>
    <row r="37">
      <c r="A37" s="7" t="inlineStr">
        <is>
          <t>NT32</t>
        </is>
      </c>
      <c r="B37" s="4" t="inlineStr">
        <is>
          <t>PR4 Vận hành</t>
        </is>
      </c>
      <c r="C37" s="7" t="inlineStr">
        <is>
          <t>BE-17, SF42</t>
        </is>
      </c>
      <c r="D37" s="7" t="inlineStr">
        <is>
          <t>TV1</t>
        </is>
      </c>
      <c r="E37" s="4" t="inlineStr">
        <is>
          <t>Chờ cron backup 1 đêm; restore file mới nhất vào DB tạm</t>
        </is>
      </c>
      <c r="F37" s="4" t="inlineStr">
        <is>
          <t>Có file backup; restore thành công, đếm bảng khớp</t>
        </is>
      </c>
      <c r="G37" s="4" t="inlineStr"/>
      <c r="H37" s="7" t="inlineStr">
        <is>
          <t>Chưa chạy</t>
        </is>
      </c>
      <c r="I37" s="7" t="inlineStr"/>
      <c r="J37" s="4" t="inlineStr"/>
      <c r="K37" s="7">
        <f>IF(AND(H37="Đạt",G37&lt;&gt;"",J37&lt;&gt;""),1,0)</f>
        <v/>
      </c>
    </row>
    <row r="38">
      <c r="A38" s="7" t="inlineStr">
        <is>
          <t>NT33</t>
        </is>
      </c>
      <c r="B38" s="4" t="inlineStr">
        <is>
          <t>PR4 Vận hành</t>
        </is>
      </c>
      <c r="C38" s="7" t="inlineStr">
        <is>
          <t>SF40</t>
        </is>
      </c>
      <c r="D38" s="7" t="inlineStr">
        <is>
          <t>TV1</t>
        </is>
      </c>
      <c r="E38" s="4" t="inlineStr">
        <is>
          <t>npm run ec2:check-deploy trên EC2</t>
        </is>
      </c>
      <c r="F38" s="4" t="inlineStr">
        <is>
          <t>Không cảnh báo (trừ HSTS preload đã chọn tắt)</t>
        </is>
      </c>
      <c r="G38" s="4" t="inlineStr"/>
      <c r="H38" s="7" t="inlineStr">
        <is>
          <t>Chưa chạy</t>
        </is>
      </c>
      <c r="I38" s="7" t="inlineStr"/>
      <c r="J38" s="4" t="inlineStr"/>
      <c r="K38" s="7">
        <f>IF(AND(H38="Đạt",G38&lt;&gt;"",J38&lt;&gt;""),1,0)</f>
        <v/>
      </c>
    </row>
    <row r="39">
      <c r="A39" s="7" t="inlineStr">
        <is>
          <t>NT34</t>
        </is>
      </c>
      <c r="B39" s="4" t="inlineStr">
        <is>
          <t>PR4 Vận hành</t>
        </is>
      </c>
      <c r="C39" s="7" t="inlineStr">
        <is>
          <t>BE-08, BE-17</t>
        </is>
      </c>
      <c r="D39" s="7" t="inlineStr">
        <is>
          <t>TV1</t>
        </is>
      </c>
      <c r="E39" s="4" t="inlineStr">
        <is>
          <t>Khởi động lại EC2 lúc 8h sáng ngày học</t>
        </is>
      </c>
      <c r="F39" s="4" t="inlineStr">
        <is>
          <t>Scheduler gửi bù thư của ngày, không gửi trùng</t>
        </is>
      </c>
      <c r="G39" s="4" t="inlineStr"/>
      <c r="H39" s="7" t="inlineStr">
        <is>
          <t>Chưa chạy</t>
        </is>
      </c>
      <c r="I39" s="7" t="inlineStr"/>
      <c r="J39" s="4" t="inlineStr"/>
      <c r="K39" s="7">
        <f>IF(AND(H39="Đạt",G39&lt;&gt;"",J39&lt;&gt;""),1,0)</f>
        <v/>
      </c>
    </row>
    <row r="40">
      <c r="A40" s="7" t="inlineStr">
        <is>
          <t>NT35</t>
        </is>
      </c>
      <c r="B40" s="4" t="inlineStr">
        <is>
          <t>G2.1 Lớp &amp; suất</t>
        </is>
      </c>
      <c r="C40" s="7" t="inlineStr">
        <is>
          <t>BE-12, FE-08</t>
        </is>
      </c>
      <c r="D40" s="7" t="inlineStr">
        <is>
          <t>TV6</t>
        </is>
      </c>
      <c r="E40" s="4" t="inlineStr">
        <is>
          <t>Lớp 30 HS nhập −1 rồi 31 suất</t>
        </is>
      </c>
      <c r="F40" s="4" t="inlineStr">
        <is>
          <t>Cả hai bị chặn</t>
        </is>
      </c>
      <c r="G40" s="4" t="inlineStr"/>
      <c r="H40" s="7" t="inlineStr">
        <is>
          <t>Chưa chạy</t>
        </is>
      </c>
      <c r="I40" s="7" t="inlineStr"/>
      <c r="J40" s="4" t="inlineStr"/>
      <c r="K40" s="7">
        <f>IF(AND(H40="Đạt",G40&lt;&gt;"",J40&lt;&gt;""),1,0)</f>
        <v/>
      </c>
    </row>
    <row r="41">
      <c r="A41" s="7" t="inlineStr">
        <is>
          <t>NT36</t>
        </is>
      </c>
      <c r="B41" s="4" t="inlineStr">
        <is>
          <t>G2.1 Lớp &amp; suất</t>
        </is>
      </c>
      <c r="C41" s="7" t="inlineStr">
        <is>
          <t>BE-12, FE-08</t>
        </is>
      </c>
      <c r="D41" s="7" t="inlineStr">
        <is>
          <t>TV6</t>
        </is>
      </c>
      <c r="E41" s="4" t="inlineStr">
        <is>
          <t>Để trống một lớp, chốt dự kiến</t>
        </is>
      </c>
      <c r="F41" s="4" t="inlineStr">
        <is>
          <t>Không chốt được; ô trống khác 0</t>
        </is>
      </c>
      <c r="G41" s="4" t="inlineStr"/>
      <c r="H41" s="7" t="inlineStr">
        <is>
          <t>Chưa chạy</t>
        </is>
      </c>
      <c r="I41" s="7" t="inlineStr"/>
      <c r="J41" s="4" t="inlineStr"/>
      <c r="K41" s="7">
        <f>IF(AND(H41="Đạt",G41&lt;&gt;"",J41&lt;&gt;""),1,0)</f>
        <v/>
      </c>
    </row>
    <row r="42">
      <c r="A42" s="7" t="inlineStr">
        <is>
          <t>NT37</t>
        </is>
      </c>
      <c r="B42" s="4" t="inlineStr">
        <is>
          <t>G2.1 Lớp &amp; suất</t>
        </is>
      </c>
      <c r="C42" s="7" t="inlineStr">
        <is>
          <t>BE-12, FE-08</t>
        </is>
      </c>
      <c r="D42" s="7" t="inlineStr">
        <is>
          <t>TV6</t>
        </is>
      </c>
      <c r="E42" s="4" t="inlineStr">
        <is>
          <t>Hai lớp 30 + 28 suất, nhân viên 5</t>
        </is>
      </c>
      <c r="F42" s="4" t="inlineStr">
        <is>
          <t>Tổng 63 suất</t>
        </is>
      </c>
      <c r="G42" s="4" t="inlineStr"/>
      <c r="H42" s="7" t="inlineStr">
        <is>
          <t>Chưa chạy</t>
        </is>
      </c>
      <c r="I42" s="7" t="inlineStr"/>
      <c r="J42" s="4" t="inlineStr"/>
      <c r="K42" s="7">
        <f>IF(AND(H42="Đạt",G42&lt;&gt;"",J42&lt;&gt;""),1,0)</f>
        <v/>
      </c>
    </row>
    <row r="43">
      <c r="A43" s="7" t="inlineStr">
        <is>
          <t>NT40</t>
        </is>
      </c>
      <c r="B43" s="4" t="inlineStr">
        <is>
          <t>G2.3 Nhu cầu</t>
        </is>
      </c>
      <c r="C43" s="7" t="inlineStr">
        <is>
          <t>SF56, SF58</t>
        </is>
      </c>
      <c r="D43" s="7" t="inlineStr">
        <is>
          <t>TV6</t>
        </is>
      </c>
      <c r="E43" s="4" t="inlineStr">
        <is>
          <t>300 suất, thịt kho 60 g + canh 10 g thịt</t>
        </is>
      </c>
      <c r="F43" s="4" t="inlineStr">
        <is>
          <t>Nhu cầu thịt 21 kg (không tách hai nhu cầu)</t>
        </is>
      </c>
      <c r="G43" s="4" t="inlineStr"/>
      <c r="H43" s="7" t="inlineStr">
        <is>
          <t>Chưa chạy</t>
        </is>
      </c>
      <c r="I43" s="7" t="inlineStr"/>
      <c r="J43" s="4" t="inlineStr"/>
      <c r="K43" s="7">
        <f>IF(AND(H43="Đạt",G43&lt;&gt;"",J43&lt;&gt;""),1,0)</f>
        <v/>
      </c>
    </row>
    <row r="44">
      <c r="A44" s="7" t="inlineStr">
        <is>
          <t>NT41</t>
        </is>
      </c>
      <c r="B44" s="4" t="inlineStr">
        <is>
          <t>G2.3 Nhu cầu</t>
        </is>
      </c>
      <c r="C44" s="7" t="inlineStr">
        <is>
          <t>SF56, SF58</t>
        </is>
      </c>
      <c r="D44" s="7" t="inlineStr">
        <is>
          <t>TV6</t>
        </is>
      </c>
      <c r="E44" s="4" t="inlineStr">
        <is>
          <t>Dự phòng 1 kg, tồn phân bổ 5 kg, đang chờ về 4 kg</t>
        </is>
      </c>
      <c r="F44" s="4" t="inlineStr">
        <is>
          <t>Đề xuất mua 13 kg</t>
        </is>
      </c>
      <c r="G44" s="4" t="inlineStr"/>
      <c r="H44" s="7" t="inlineStr">
        <is>
          <t>Chưa chạy</t>
        </is>
      </c>
      <c r="I44" s="7" t="inlineStr"/>
      <c r="J44" s="4" t="inlineStr"/>
      <c r="K44" s="7">
        <f>IF(AND(H44="Đạt",G44&lt;&gt;"",J44&lt;&gt;""),1,0)</f>
        <v/>
      </c>
    </row>
    <row r="45">
      <c r="A45" s="7" t="inlineStr">
        <is>
          <t>NT42</t>
        </is>
      </c>
      <c r="B45" s="4" t="inlineStr">
        <is>
          <t>G2.4 Đặt &amp; nhận</t>
        </is>
      </c>
      <c r="C45" s="7" t="inlineStr">
        <is>
          <t>SF62, SF64</t>
        </is>
      </c>
      <c r="D45" s="7" t="inlineStr">
        <is>
          <t>TV6</t>
        </is>
      </c>
      <c r="E45" s="4" t="inlineStr">
        <is>
          <t>Đặt 13 kg; nhận 10 rồi 3; nhận thêm 4</t>
        </is>
      </c>
      <c r="F45" s="4" t="inlineStr">
        <is>
          <t>Lần 4 kg bị chặn</t>
        </is>
      </c>
      <c r="G45" s="4" t="inlineStr"/>
      <c r="H45" s="7" t="inlineStr">
        <is>
          <t>Chưa chạy</t>
        </is>
      </c>
      <c r="I45" s="7" t="inlineStr"/>
      <c r="J45" s="4" t="inlineStr"/>
      <c r="K45" s="7">
        <f>IF(AND(H45="Đạt",G45&lt;&gt;"",J45&lt;&gt;""),1,0)</f>
        <v/>
      </c>
    </row>
    <row r="46">
      <c r="A46" s="7" t="inlineStr">
        <is>
          <t>NT43</t>
        </is>
      </c>
      <c r="B46" s="4" t="inlineStr">
        <is>
          <t>G2.4 Đặt &amp; nhận</t>
        </is>
      </c>
      <c r="C46" s="7" t="inlineStr">
        <is>
          <t>SF62, SF64</t>
        </is>
      </c>
      <c r="D46" s="7" t="inlineStr">
        <is>
          <t>TV6</t>
        </is>
      </c>
      <c r="E46" s="4" t="inlineStr">
        <is>
          <t>Lưu phiếu nhận nháp; chốt; chốt lại lần nữa</t>
        </is>
      </c>
      <c r="F46" s="4" t="inlineStr">
        <is>
          <t>Nháp không tăng tồn; chốt tăng đúng 1 lần</t>
        </is>
      </c>
      <c r="G46" s="4" t="inlineStr"/>
      <c r="H46" s="7" t="inlineStr">
        <is>
          <t>Chưa chạy</t>
        </is>
      </c>
      <c r="I46" s="7" t="inlineStr"/>
      <c r="J46" s="4" t="inlineStr"/>
      <c r="K46" s="7">
        <f>IF(AND(H46="Đạt",G46&lt;&gt;"",J46&lt;&gt;""),1,0)</f>
        <v/>
      </c>
    </row>
    <row r="47">
      <c r="A47" s="7" t="inlineStr">
        <is>
          <t>NT44</t>
        </is>
      </c>
      <c r="B47" s="4" t="inlineStr">
        <is>
          <t>G2.5 Xuất &amp; chi phí</t>
        </is>
      </c>
      <c r="C47" s="7" t="inlineStr">
        <is>
          <t>SF68, SF70</t>
        </is>
      </c>
      <c r="D47" s="7" t="inlineStr">
        <is>
          <t>TV6</t>
        </is>
      </c>
      <c r="E47" s="4" t="inlineStr">
        <is>
          <t>Xuất bếp theo nhu cầu; xem chi phí/suất</t>
        </is>
      </c>
      <c r="F47" s="4" t="inlineStr">
        <is>
          <t>Chi phí/suất = chi phí OUT / suất thực tế</t>
        </is>
      </c>
      <c r="G47" s="4" t="inlineStr"/>
      <c r="H47" s="7" t="inlineStr">
        <is>
          <t>Chưa chạy</t>
        </is>
      </c>
      <c r="I47" s="7" t="inlineStr"/>
      <c r="J47" s="4" t="inlineStr"/>
      <c r="K47" s="7">
        <f>IF(AND(H47="Đạt",G47&lt;&gt;"",J47&lt;&gt;""),1,0)</f>
        <v/>
      </c>
    </row>
    <row r="48">
      <c r="A48" s="7" t="inlineStr">
        <is>
          <t>NT45</t>
        </is>
      </c>
      <c r="B48" s="4" t="inlineStr">
        <is>
          <t>G2.5 Xuất &amp; chi phí</t>
        </is>
      </c>
      <c r="C48" s="7" t="inlineStr">
        <is>
          <t>SF68</t>
        </is>
      </c>
      <c r="D48" s="7" t="inlineStr">
        <is>
          <t>TV6</t>
        </is>
      </c>
      <c r="E48" s="4" t="inlineStr">
        <is>
          <t>Nhập giá mới sau ngày đã đóng; xem lại chi phí ngày cũ</t>
        </is>
      </c>
      <c r="F48" s="4" t="inlineStr">
        <is>
          <t>Giá vốn ngày cũ không đổi</t>
        </is>
      </c>
      <c r="G48" s="4" t="inlineStr"/>
      <c r="H48" s="7" t="inlineStr">
        <is>
          <t>Chưa chạy</t>
        </is>
      </c>
      <c r="I48" s="7" t="inlineStr"/>
      <c r="J48" s="4" t="inlineStr"/>
      <c r="K48" s="7">
        <f>IF(AND(H48="Đạt",G48&lt;&gt;"",J48&lt;&gt;""),1,0)</f>
        <v/>
      </c>
    </row>
    <row r="49">
      <c r="A49" s="7" t="inlineStr">
        <is>
          <t>NT46</t>
        </is>
      </c>
      <c r="B49" s="4" t="inlineStr">
        <is>
          <t>G2.5 Xuất &amp; chi phí</t>
        </is>
      </c>
      <c r="C49" s="7" t="inlineStr">
        <is>
          <t>SF72</t>
        </is>
      </c>
      <c r="D49" s="7" t="inlineStr">
        <is>
          <t>TV6</t>
        </is>
      </c>
      <c r="E49" s="4" t="inlineStr">
        <is>
          <t>Chạy sf31_ledger_audit --strict sau kịch bản đầy đủ</t>
        </is>
      </c>
      <c r="F49" s="4" t="inlineStr">
        <is>
          <t>Đạt, tồn khớp sổ</t>
        </is>
      </c>
      <c r="G49" s="4" t="inlineStr"/>
      <c r="H49" s="7" t="inlineStr">
        <is>
          <t>Chưa chạy</t>
        </is>
      </c>
      <c r="I49" s="7" t="inlineStr"/>
      <c r="J49" s="4" t="inlineStr"/>
      <c r="K49" s="7">
        <f>IF(AND(H49="Đạt",G49&lt;&gt;"",J49&lt;&gt;""),1,0)</f>
        <v/>
      </c>
    </row>
  </sheetData>
  <autoFilter ref="A5:K49"/>
  <conditionalFormatting sqref="H6:H49">
    <cfRule type="expression" priority="1" dxfId="3">
      <formula>$H6="Đạt"</formula>
    </cfRule>
    <cfRule type="expression" priority="2" dxfId="1">
      <formula>$H6="Không đạt"</formula>
    </cfRule>
  </conditionalFormatting>
  <dataValidations count="2">
    <dataValidation sqref="H6:H49" showDropDown="0" showInputMessage="0" showErrorMessage="0" allowBlank="0" type="list">
      <formula1>"Chưa chạy,Đạt,Không đạt"</formula1>
    </dataValidation>
    <dataValidation sqref="D6:D49" showDropDown="0" showInputMessage="0" showErrorMessage="0" allowBlank="0" type="list">
      <formula1>"TV1,TV2,TV3,TV4,TV5,TV6"</formula1>
    </dataValidation>
  </dataValidation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zoomScale="10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8" customWidth="1" min="2" max="2"/>
    <col width="52" customWidth="1" min="3" max="3"/>
    <col width="14" customWidth="1" min="4" max="4"/>
    <col width="46" customWidth="1" min="5" max="5"/>
    <col width="18" customWidth="1" min="6" max="6"/>
    <col width="34" customWidth="1" min="7" max="7"/>
  </cols>
  <sheetData>
    <row r="1">
      <c r="A1" s="1" t="inlineStr">
        <is>
          <t>SchoolFood — lỗi đang mở (đồng bộ plan_final.md §5)</t>
        </is>
      </c>
    </row>
    <row r="2">
      <c r="A2" s="2" t="inlineStr">
        <is>
          <t>Chỉ đổi sang Đóng khi điều kiện đóng đạt và có bằng chứng (commit + test). Lỗi mới: thêm dòng ISSUE-0xx và ghi vào plan_final.md §5.</t>
        </is>
      </c>
    </row>
    <row r="4" ht="32" customHeight="1">
      <c r="A4" s="3" t="inlineStr">
        <is>
          <t>Mã</t>
        </is>
      </c>
      <c r="B4" s="3" t="inlineStr">
        <is>
          <t>Ưu tiên</t>
        </is>
      </c>
      <c r="C4" s="3" t="inlineStr">
        <is>
          <t>Vấn đề</t>
        </is>
      </c>
      <c r="D4" s="3" t="inlineStr">
        <is>
          <t>Task xử lý</t>
        </is>
      </c>
      <c r="E4" s="3" t="inlineStr">
        <is>
          <t>Điều kiện đóng</t>
        </is>
      </c>
      <c r="F4" s="3" t="inlineStr">
        <is>
          <t>Trạng thái</t>
        </is>
      </c>
      <c r="G4" s="3" t="inlineStr">
        <is>
          <t>Bằng chứng</t>
        </is>
      </c>
    </row>
    <row r="5">
      <c r="A5" s="7" t="inlineStr">
        <is>
          <t>ISSUE-001</t>
        </is>
      </c>
      <c r="B5" s="7" t="inlineStr">
        <is>
          <t>P1</t>
        </is>
      </c>
      <c r="C5" s="4" t="inlineStr">
        <is>
          <t>DB migrate tại f00048d không nâng cấp được (trùng bảng inventory_issue)</t>
        </is>
      </c>
      <c r="D5" s="7" t="inlineStr">
        <is>
          <t>BE-01</t>
        </is>
      </c>
      <c r="E5" s="4" t="inlineStr">
        <is>
          <t>DB sạch và DB nâng cấp đều chạy; ledger đạt; không --fake mù</t>
        </is>
      </c>
      <c r="F5" s="7" t="inlineStr">
        <is>
          <t>Mở</t>
        </is>
      </c>
      <c r="G5" s="4" t="inlineStr"/>
    </row>
    <row r="6">
      <c r="A6" s="7" t="inlineStr">
        <is>
          <t>ISSUE-002</t>
        </is>
      </c>
      <c r="B6" s="7" t="inlineStr">
        <is>
          <t>P1</t>
        </is>
      </c>
      <c r="C6" s="4" t="inlineStr">
        <is>
          <t>API lớp bỏ qua grade</t>
        </is>
      </c>
      <c r="D6" s="7" t="inlineStr">
        <is>
          <t>BE-12</t>
        </is>
      </c>
      <c r="E6" s="4" t="inlineStr">
        <is>
          <t>Tạo/sửa/đọc grade đúng; sai kiểu 400</t>
        </is>
      </c>
      <c r="F6" s="7" t="inlineStr">
        <is>
          <t>Mở</t>
        </is>
      </c>
      <c r="G6" s="4" t="inlineStr"/>
    </row>
    <row r="7">
      <c r="A7" s="7" t="inlineStr">
        <is>
          <t>ISSUE-003</t>
        </is>
      </c>
      <c r="B7" s="7" t="inlineStr">
        <is>
          <t>P1</t>
        </is>
      </c>
      <c r="C7" s="4" t="inlineStr">
        <is>
          <t>Công thức 0,4 g lưu thành 0</t>
        </is>
      </c>
      <c r="D7" s="7" t="inlineStr">
        <is>
          <t>BE-03, BE-06</t>
        </is>
      </c>
      <c r="E7" s="4" t="inlineStr">
        <is>
          <t>0,4 g giữ đúng hoặc 400 rõ</t>
        </is>
      </c>
      <c r="F7" s="7" t="inlineStr">
        <is>
          <t>Mở</t>
        </is>
      </c>
      <c r="G7" s="4" t="inlineStr"/>
    </row>
    <row r="8">
      <c r="A8" s="7" t="inlineStr">
        <is>
          <t>ISSUE-004</t>
        </is>
      </c>
      <c r="B8" s="7" t="inlineStr">
        <is>
          <t>P1</t>
        </is>
      </c>
      <c r="C8" s="4" t="inlineStr">
        <is>
          <t>Ngày/lượng sai làm API xuất trả 500</t>
        </is>
      </c>
      <c r="D8" s="7" t="inlineStr">
        <is>
          <t>BE-09</t>
        </is>
      </c>
      <c r="E8" s="4" t="inlineStr">
        <is>
          <t>400 JSON; không phiếu mồ côi</t>
        </is>
      </c>
      <c r="F8" s="7" t="inlineStr">
        <is>
          <t>Mở</t>
        </is>
      </c>
      <c r="G8" s="4" t="inlineStr"/>
    </row>
    <row r="9">
      <c r="A9" s="7" t="inlineStr">
        <is>
          <t>ISSUE-005</t>
        </is>
      </c>
      <c r="B9" s="7" t="inlineStr">
        <is>
          <t>P2</t>
        </is>
      </c>
      <c r="C9" s="4" t="inlineStr">
        <is>
          <t>Body JSON mảng → 500</t>
        </is>
      </c>
      <c r="D9" s="7" t="inlineStr">
        <is>
          <t>BE-09</t>
        </is>
      </c>
      <c r="E9" s="4" t="inlineStr">
        <is>
          <t>400 JSON ở mọi endpoint</t>
        </is>
      </c>
      <c r="F9" s="7" t="inlineStr">
        <is>
          <t>Mở</t>
        </is>
      </c>
      <c r="G9" s="4" t="inlineStr"/>
    </row>
    <row r="10">
      <c r="A10" s="7" t="inlineStr">
        <is>
          <t>ISSUE-006</t>
        </is>
      </c>
      <c r="B10" s="7" t="inlineStr">
        <is>
          <t>P2</t>
        </is>
      </c>
      <c r="C10" s="4" t="inlineStr">
        <is>
          <t>"false" lưu thành true</t>
        </is>
      </c>
      <c r="D10" s="7" t="inlineStr">
        <is>
          <t>BE-09</t>
        </is>
      </c>
      <c r="E10" s="4" t="inlineStr">
        <is>
          <t>Chỉ nhận boolean JSON</t>
        </is>
      </c>
      <c r="F10" s="7" t="inlineStr">
        <is>
          <t>Mở</t>
        </is>
      </c>
      <c r="G10" s="4" t="inlineStr"/>
    </row>
    <row r="11">
      <c r="A11" s="7" t="inlineStr">
        <is>
          <t>ISSUE-007</t>
        </is>
      </c>
      <c r="B11" s="7" t="inlineStr">
        <is>
          <t>P2</t>
        </is>
      </c>
      <c r="C11" s="4" t="inlineStr">
        <is>
          <t>Phiếu 0.00 nhưng sổ 0.01</t>
        </is>
      </c>
      <c r="D11" s="7" t="inlineStr">
        <is>
          <t>BE-05</t>
        </is>
      </c>
      <c r="E11" s="4" t="inlineStr">
        <is>
          <t>Phiếu, sổ, báo cáo khớp</t>
        </is>
      </c>
      <c r="F11" s="7" t="inlineStr">
        <is>
          <t>Mở</t>
        </is>
      </c>
      <c r="G11" s="4" t="inlineStr"/>
    </row>
    <row r="12">
      <c r="A12" s="7" t="inlineStr">
        <is>
          <t>ISSUE-008</t>
        </is>
      </c>
      <c r="B12" s="7" t="inlineStr">
        <is>
          <t>P2</t>
        </is>
      </c>
      <c r="C12" s="4" t="inlineStr">
        <is>
          <t>API nhập nhận float</t>
        </is>
      </c>
      <c r="D12" s="7" t="inlineStr">
        <is>
          <t>BE-09</t>
        </is>
      </c>
      <c r="E12" s="4" t="inlineStr">
        <is>
          <t>Float/bool/NaN → 400</t>
        </is>
      </c>
      <c r="F12" s="7" t="inlineStr">
        <is>
          <t>Mở</t>
        </is>
      </c>
      <c r="G12" s="4" t="inlineStr"/>
    </row>
    <row r="13">
      <c r="A13" s="7" t="inlineStr">
        <is>
          <t>ISSUE-009</t>
        </is>
      </c>
      <c r="B13" s="7" t="inlineStr">
        <is>
          <t>P1</t>
        </is>
      </c>
      <c r="C13" s="4" t="inlineStr">
        <is>
          <t>Mất bộ test quyền/CSRF</t>
        </is>
      </c>
      <c r="D13" s="7" t="inlineStr">
        <is>
          <t>BE-16</t>
        </is>
      </c>
      <c r="E13" s="4" t="inlineStr">
        <is>
          <t>Test chạy với CSRF bật thật</t>
        </is>
      </c>
      <c r="F13" s="7" t="inlineStr">
        <is>
          <t>Mở</t>
        </is>
      </c>
      <c r="G13" s="4" t="inlineStr"/>
    </row>
    <row r="14">
      <c r="A14" s="7" t="inlineStr">
        <is>
          <t>ISSUE-010</t>
        </is>
      </c>
      <c r="B14" s="7" t="inlineStr">
        <is>
          <t>—</t>
        </is>
      </c>
      <c r="C14" s="4" t="inlineStr">
        <is>
          <t>Cấu hình production lỏng, test không chặn host lạ</t>
        </is>
      </c>
      <c r="D14" s="7" t="inlineStr">
        <is>
          <t>SF38 (#33)</t>
        </is>
      </c>
      <c r="E14" s="4" t="inlineStr">
        <is>
          <t>Settings bắt buộc env khi DEBUG=False; guard host test</t>
        </is>
      </c>
      <c r="F14" s="7" t="inlineStr">
        <is>
          <t>Đóng</t>
        </is>
      </c>
      <c r="G14" s="4" t="inlineStr">
        <is>
          <t>PR #33 merge vào dev1 (6f0bdc7)</t>
        </is>
      </c>
    </row>
    <row r="15">
      <c r="A15" s="7" t="inlineStr">
        <is>
          <t>ISSUE-011</t>
        </is>
      </c>
      <c r="B15" s="7" t="inlineStr">
        <is>
          <t>P1</t>
        </is>
      </c>
      <c r="C15" s="4" t="inlineStr">
        <is>
          <t>API ngày ăn SF46: GET ghi dữ liệu, lỗi DB lộ ra, class_id sai bị bỏ qua</t>
        </is>
      </c>
      <c r="D15" s="7" t="inlineStr">
        <is>
          <t>BE-12</t>
        </is>
      </c>
      <c r="E15" s="4" t="inlineStr">
        <is>
          <t>GET không ghi; validate từng dòng; lỗi không lộ</t>
        </is>
      </c>
      <c r="F15" s="7" t="inlineStr">
        <is>
          <t>Mở</t>
        </is>
      </c>
      <c r="G15" s="4" t="inlineStr"/>
    </row>
  </sheetData>
  <conditionalFormatting sqref="F5:F35">
    <cfRule type="expression" priority="1" dxfId="1">
      <formula>$F5="Mở"</formula>
    </cfRule>
    <cfRule type="expression" priority="2" dxfId="0">
      <formula>$F5="Đã sửa - chờ kiểm"</formula>
    </cfRule>
    <cfRule type="expression" priority="3" dxfId="3">
      <formula>$F5="Đóng"</formula>
    </cfRule>
  </conditionalFormatting>
  <dataValidations count="1">
    <dataValidation sqref="F5:F35" showDropDown="0" showInputMessage="0" showErrorMessage="0" allowBlank="0" type="list">
      <formula1>"Mở,Đã sửa - chờ kiểm,Đóng"</formula1>
    </dataValidation>
  </dataValidation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2026-10-01T04:02:37Z</dcterms:created>
  <dcterms:modified xmlns:dcterms="http://purl.org/dc/terms/" xmlns:xsi="http://www.w3.org/2001/XMLSchema-instance" xsi:type="dcterms:W3CDTF">2026-10-01T04:02:37Z</dcterms:modified>
</cp:coreProperties>
</file>